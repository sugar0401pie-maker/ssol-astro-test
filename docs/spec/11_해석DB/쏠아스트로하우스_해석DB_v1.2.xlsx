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20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4.xml.rels" ContentType="application/vnd.openxmlformats-package.relationships+xml"/>
  <Override PartName="/xl/worksheets/_rels/sheet26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2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요약" sheetId="2" state="visible" r:id="rId4"/>
    <sheet name="A1 별자리 기본 정보" sheetId="3" state="visible" r:id="rId5"/>
    <sheet name="A2 태양 × 별자리" sheetId="4" state="visible" r:id="rId6"/>
    <sheet name="A3 달 × 별자리" sheetId="5" state="visible" r:id="rId7"/>
    <sheet name="A4 상승궁 × 별자리" sheetId="6" state="visible" r:id="rId8"/>
    <sheet name="A5 캐릭터 20종 (점성술판)" sheetId="7" state="visible" r:id="rId9"/>
    <sheet name="A6 역량 5 · 방식 4 설명" sheetId="8" state="visible" r:id="rId10"/>
    <sheet name="A7 원소 강할 때·부족할 때" sheetId="9" state="visible" r:id="rId11"/>
    <sheet name="A8 트랜짓 이벤트 문장" sheetId="10" state="visible" r:id="rId12"/>
    <sheet name="A9 목성·토성 하우스 통과" sheetId="11" state="visible" r:id="rId13"/>
    <sheet name="A10 연말·단기 역행" sheetId="12" state="visible" r:id="rId14"/>
    <sheet name="A11 하늘의 공통 흐름 2026말~2031" sheetId="13" state="visible" r:id="rId15"/>
    <sheet name="A12 Q2 공감 도입문 (2026 한 단어)" sheetId="14" state="visible" r:id="rId16"/>
    <sheet name="A12b 2026 회고 표현 변형" sheetId="15" state="visible" r:id="rId17"/>
    <sheet name="A13 Q3 바람 × 판정 (이루어짐)" sheetId="16" state="visible" r:id="rId18"/>
    <sheet name="A13b 바람 판정 표현 변형" sheetId="17" state="visible" r:id="rId19"/>
    <sheet name="A14 웰니스 실천 (역량 × 고민 영역)" sheetId="18" state="visible" r:id="rId20"/>
    <sheet name="A15 고정 문구" sheetId="19" state="visible" r:id="rId21"/>
    <sheet name="A16 행성·각도·하우스 뜻 (용어 사전)" sheetId="20" state="visible" r:id="rId22"/>
    <sheet name="A17a 성찰 질문 은행 (역량 × 2027 바람)" sheetId="21" state="visible" r:id="rId23"/>
    <sheet name="A17b 기질 문장 (태양 원소 × 달 원소)" sheetId="22" state="visible" r:id="rId24"/>
    <sheet name="A18 전환점 문장 (올해의 전환점)" sheetId="23" state="visible" r:id="rId25"/>
    <sheet name="B1a 행성 × 별자리 (수성·금성·화성·목성·토성)" sheetId="24" state="visible" r:id="rId26"/>
    <sheet name="B1b 세대 행성 × 별자리 (천왕성·해왕성·명왕성)" sheetId="25" state="visible" r:id="rId27"/>
    <sheet name="B2a 행성 × 하우스 (태양·달·수성·금성·화성)" sheetId="26" state="visible" r:id="rId28"/>
    <sheet name="B2b 행성 × 하우스 (목성·토성·천왕성·해왕성·명왕성" sheetId="27" state="visible" r:id="rId29"/>
    <sheet name="B3 출생차트 주요 각도" sheetId="28" state="visible" r:id="rId30"/>
    <sheet name="B6 캐릭터 후보 선택 카드" sheetId="29" state="visible" r:id="rId31"/>
    <sheet name="B7 놓아줄 것·키울 것 (캐릭터별)" sheetId="30" state="visible" r:id="rId32"/>
    <sheet name="B8 고민 영역(Q1) 안내" sheetId="31" state="visible" r:id="rId33"/>
    <sheet name="B9 움직임 × 기질 문장" sheetId="32" state="visible" r:id="rId34"/>
    <sheet name="B10 경계 구간 문장 (판정 기준선 ±1)" sheetId="33" state="visible" r:id="rId35"/>
    <sheet name="B11 요약 문장 틀·화면 고정 문구 (2026-10-0" sheetId="34" state="visible" r:id="rId36"/>
    <sheet name="B12 바람과 흐름 잇기 — AI 대체 문장" sheetId="35" state="visible" r:id="rId37"/>
    <sheet name="C1 금지어·대체어 사전 (자동 검증용)" sheetId="36" state="visible" r:id="rId38"/>
    <sheet name="C2 점수·가중치 설정 (엔진용 데이터)" sheetId="37" state="visible" r:id="rId39"/>
    <sheet name="교정 내역" sheetId="38" state="visible" r:id="rId40"/>
  </sheets>
  <definedNames>
    <definedName function="false" hidden="true" localSheetId="2" name="_xlnm._FilterDatabase" vbProcedure="false">'A1 별자리 기본 정보'!$A$1:$O$13</definedName>
    <definedName function="false" hidden="true" localSheetId="11" name="_xlnm._FilterDatabase" vbProcedure="false">'A10 연말·단기 역행'!$A$1:$L$37</definedName>
    <definedName function="false" hidden="true" localSheetId="12" name="_xlnm._FilterDatabase" vbProcedure="false">'A11 하늘의 공통 흐름 2026말~2031'!$A$1:$I$11</definedName>
    <definedName function="false" hidden="true" localSheetId="13" name="_xlnm._FilterDatabase" vbProcedure="false">'A12 Q2 공감 도입문 (2026 한 단어)'!$A$1:$K$11</definedName>
    <definedName function="false" hidden="true" localSheetId="14" name="_xlnm._FilterDatabase" vbProcedure="false">'A12b 2026 회고 표현 변형'!$A$1:$I$121</definedName>
    <definedName function="false" hidden="true" localSheetId="15" name="_xlnm._FilterDatabase" vbProcedure="false">'A13 Q3 바람 × 판정 (이루어짐)'!$A$1:$J$45</definedName>
    <definedName function="false" hidden="true" localSheetId="16" name="_xlnm._FilterDatabase" vbProcedure="false">'A13b 바람 판정 표현 변형'!$A$1:$J$221</definedName>
    <definedName function="false" hidden="true" localSheetId="17" name="_xlnm._FilterDatabase" vbProcedure="false">'A14 웰니스 실천 (역량 × 고민 영역)'!$A$1:$Z$31</definedName>
    <definedName function="false" hidden="true" localSheetId="18" name="_xlnm._FilterDatabase" vbProcedure="false">'A15 고정 문구'!$A$1:$G$17</definedName>
    <definedName function="false" hidden="true" localSheetId="19" name="_xlnm._FilterDatabase" vbProcedure="false">'A16 행성·각도·하우스 뜻 (용어 사전)'!$A$1:$J$36</definedName>
    <definedName function="false" hidden="true" localSheetId="20" name="_xlnm._FilterDatabase" vbProcedure="false">'A17a 성찰 질문 은행 (역량 × 2027 바람)'!$A$1:$L$56</definedName>
    <definedName function="false" hidden="true" localSheetId="21" name="_xlnm._FilterDatabase" vbProcedure="false">'A17b 기질 문장 (태양 원소 × 달 원소)'!$A$1:$I$17</definedName>
    <definedName function="false" hidden="true" localSheetId="22" name="_xlnm._FilterDatabase" vbProcedure="false">'A18 전환점 문장 (올해의 전환점)'!$A$1:$H$21</definedName>
    <definedName function="false" hidden="true" localSheetId="3" name="_xlnm._FilterDatabase" vbProcedure="false">'A2 태양 × 별자리'!$A$1:$I$13</definedName>
    <definedName function="false" hidden="true" localSheetId="4" name="_xlnm._FilterDatabase" vbProcedure="false">'A3 달 × 별자리'!$A$1:$I$13</definedName>
    <definedName function="false" hidden="true" localSheetId="5" name="_xlnm._FilterDatabase" vbProcedure="false">'A4 상승궁 × 별자리'!$A$1:$H$13</definedName>
    <definedName function="false" hidden="true" localSheetId="6" name="_xlnm._FilterDatabase" vbProcedure="false">'A5 캐릭터 20종 (점성술판)'!$A$1:$R$21</definedName>
    <definedName function="false" hidden="true" localSheetId="7" name="_xlnm._FilterDatabase" vbProcedure="false">'A6 역량 5 · 방식 4 설명'!$A$1:$K$10</definedName>
    <definedName function="false" hidden="true" localSheetId="8" name="_xlnm._FilterDatabase" vbProcedure="false">'A7 원소 강할 때·부족할 때'!$A$1:$I$9</definedName>
    <definedName function="false" hidden="true" localSheetId="9" name="_xlnm._FilterDatabase" vbProcedure="false">'A8 트랜짓 이벤트 문장'!$A$1:$O$107</definedName>
    <definedName function="false" hidden="true" localSheetId="10" name="_xlnm._FilterDatabase" vbProcedure="false">'A9 목성·토성 하우스 통과'!$A$1:$N$25</definedName>
    <definedName function="false" hidden="true" localSheetId="32" name="_xlnm._FilterDatabase" vbProcedure="false">'B10 경계 구간 문장 (판정 기준선 ±1)'!$A$1:$J$5</definedName>
    <definedName function="false" hidden="true" localSheetId="33" name="_xlnm._FilterDatabase" vbProcedure="false">'B11 요약 문장 틀·화면 고정 문구 (2026-10-0'!$A$1:$H$30</definedName>
    <definedName function="false" hidden="true" localSheetId="34" name="_xlnm._FilterDatabase" vbProcedure="false">'B12 바람과 흐름 잇기 — AI 대체 문장'!$A$1:$I$23</definedName>
    <definedName function="false" hidden="true" localSheetId="23" name="_xlnm._FilterDatabase" vbProcedure="false">'B1a 행성 × 별자리 (수성·금성·화성·목성·토성)'!$A$1:$I$61</definedName>
    <definedName function="false" hidden="true" localSheetId="24" name="_xlnm._FilterDatabase" vbProcedure="false">'B1b 세대 행성 × 별자리 (천왕성·해왕성·명왕성)'!$A$1:$J$37</definedName>
    <definedName function="false" hidden="true" localSheetId="25" name="_xlnm._FilterDatabase" vbProcedure="false">'B2a 행성 × 하우스 (태양·달·수성·금성·화성)'!$A$1:$J$61</definedName>
    <definedName function="false" hidden="true" localSheetId="26" name="_xlnm._FilterDatabase" vbProcedure="false">'B2b 행성 × 하우스 (목성·토성·천왕성·해왕성·명왕성'!$A$1:$J$61</definedName>
    <definedName function="false" hidden="true" localSheetId="27" name="_xlnm._FilterDatabase" vbProcedure="false">'B3 출생차트 주요 각도'!$A$1:$K$64</definedName>
    <definedName function="false" hidden="true" localSheetId="28" name="_xlnm._FilterDatabase" vbProcedure="false">'B6 캐릭터 후보 선택 카드'!$A$1:$I$21</definedName>
    <definedName function="false" hidden="true" localSheetId="29" name="_xlnm._FilterDatabase" vbProcedure="false">'B7 놓아줄 것·키울 것 (캐릭터별)'!$A$1:$H$21</definedName>
    <definedName function="false" hidden="true" localSheetId="30" name="_xlnm._FilterDatabase" vbProcedure="false">'B8 고민 영역(Q1) 안내'!$A$1:$K$7</definedName>
    <definedName function="false" hidden="true" localSheetId="31" name="_xlnm._FilterDatabase" vbProcedure="false">'B9 움직임 × 기질 문장'!$A$1:$J$13</definedName>
    <definedName function="false" hidden="true" localSheetId="35" name="_xlnm._FilterDatabase" vbProcedure="false">'C1 금지어·대체어 사전 (자동 검증용)'!$A$1:$J$80</definedName>
    <definedName function="false" hidden="true" localSheetId="36" name="_xlnm._FilterDatabase" vbProcedure="false">'C2 점수·가중치 설정 (엔진용 데이터)'!$A$1:$I$69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<sst xmlns="http://schemas.openxmlformats.org/spreadsheetml/2006/main" count="13046" uniqueCount="6515">
  <si>
    <r>
      <rPr>
        <b val="true"/>
        <sz val="13"/>
        <rFont val="Noto Sans CJK SC"/>
        <family val="2"/>
      </rPr>
      <t xml:space="preserve">쏠 아스트로 하우스 — 해석 </t>
    </r>
    <r>
      <rPr>
        <b val="true"/>
        <sz val="13"/>
        <rFont val="맑은 고딕"/>
        <family val="0"/>
        <charset val="1"/>
      </rPr>
      <t xml:space="preserve">DB v1.2 (</t>
    </r>
    <r>
      <rPr>
        <b val="true"/>
        <sz val="13"/>
        <rFont val="Noto Sans CJK SC"/>
        <family val="2"/>
      </rPr>
      <t xml:space="preserve">초안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</si>
  <si>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기준일 </t>
    </r>
    <r>
      <rPr>
        <sz val="10"/>
        <rFont val="맑은 고딕"/>
        <family val="0"/>
        <charset val="1"/>
      </rPr>
      <t xml:space="preserve">2026-10-07 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상담사 검수 전 초안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1366</t>
    </r>
    <r>
      <rPr>
        <sz val="10"/>
        <rFont val="Noto Sans CJK SC"/>
        <family val="2"/>
      </rPr>
      <t xml:space="preserve">행</t>
    </r>
  </si>
  <si>
    <t xml:space="preserve">검수 방법</t>
  </si>
  <si>
    <r>
      <rPr>
        <sz val="10"/>
        <rFont val="Noto Sans CJK SC"/>
        <family val="2"/>
      </rPr>
      <t xml:space="preserve">• 각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시트 오른쪽 노란 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개만 입력합니다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검수상태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목록에서 선택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수정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고칠 때만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상담사 메모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</si>
  <si>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검수상태 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미검수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승인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수정필요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시트가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별 진행률을 자동으로 셉니다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</si>
  <si>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review_note(</t>
    </r>
    <r>
      <rPr>
        <sz val="10"/>
        <rFont val="Noto Sans CJK SC"/>
        <family val="2"/>
      </rPr>
      <t xml:space="preserve">작성 메모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초안 작성 시 확인받고 싶었던 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읽어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</si>
  <si>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문장 규칙</t>
    </r>
    <r>
      <rPr>
        <sz val="10"/>
        <rFont val="맑은 고딕"/>
        <family val="0"/>
        <charset val="1"/>
      </rPr>
      <t xml:space="preserve">: ** </t>
    </r>
    <r>
      <rPr>
        <sz val="10"/>
        <rFont val="Noto Sans CJK SC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 칸에 숫자 금지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토큰 사용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교대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이론명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진단명 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공포 표현 금지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</si>
  <si>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예시</t>
    </r>
    <r>
      <rPr>
        <sz val="10"/>
        <rFont val="맑은 고딕"/>
        <family val="0"/>
        <charset val="1"/>
      </rPr>
      <t xml:space="preserve">: A5 </t>
    </r>
    <r>
      <rPr>
        <sz val="10"/>
        <rFont val="Noto Sans CJK SC"/>
        <family val="2"/>
      </rPr>
      <t xml:space="preserve">수달 행 → 검수상태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", </t>
    </r>
    <r>
      <rPr>
        <sz val="10"/>
        <rFont val="Noto Sans CJK SC"/>
        <family val="2"/>
      </rPr>
      <t xml:space="preserve">수정 문장 비움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고칠 때는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수정필요</t>
    </r>
    <r>
      <rPr>
        <sz val="10"/>
        <rFont val="맑은 고딕"/>
        <family val="0"/>
        <charset val="1"/>
      </rPr>
      <t xml:space="preserve">" + </t>
    </r>
    <r>
      <rPr>
        <sz val="10"/>
        <rFont val="Noto Sans CJK SC"/>
        <family val="2"/>
      </rPr>
      <t xml:space="preserve">수정 문장 칸에 고친 문장 전체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</si>
  <si>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토큰 사전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서버가 실제 값으로 바꿈</t>
    </r>
    <r>
      <rPr>
        <b val="true"/>
        <sz val="10"/>
        <rFont val="맑은 고딕"/>
        <family val="0"/>
        <charset val="1"/>
      </rPr>
      <t xml:space="preserve">)</t>
    </r>
  </si>
  <si>
    <t xml:space="preserve">토큰</t>
  </si>
  <si>
    <t xml:space="preserve">뜻</t>
  </si>
  <si>
    <r>
      <rPr>
        <b val="true"/>
        <sz val="10"/>
        <color rgb="FFFDF6E9"/>
        <rFont val="Noto Sans CJK SC"/>
        <family val="2"/>
      </rPr>
      <t xml:space="preserve">쓰는 </t>
    </r>
    <r>
      <rPr>
        <b val="true"/>
        <sz val="10"/>
        <color rgb="FFFDF6E9"/>
        <rFont val="맑은 고딕"/>
        <family val="0"/>
        <charset val="1"/>
      </rPr>
      <t xml:space="preserve">DB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</si>
  <si>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</si>
  <si>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사용자 닉네임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님은 문장에 붙여 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</si>
  <si>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A15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</si>
  <si>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</si>
  <si>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바람을 돕거나 막는 행성 근거 구절</t>
    </r>
    <r>
      <rPr>
        <sz val="10"/>
        <rFont val="맑은 고딕"/>
        <family val="0"/>
        <charset val="1"/>
      </rPr>
      <t xml:space="preserve">, 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끝남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</t>
    </r>
    <r>
      <rPr>
        <sz val="10"/>
        <rFont val="맑은 고딕"/>
        <family val="0"/>
        <charset val="1"/>
      </rPr>
      <t xml:space="preserve">)</t>
    </r>
  </si>
  <si>
    <t xml:space="preserve">A13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</si>
  <si>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</si>
  <si>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바람이 열리는 첫 순풍 연도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</si>
  <si>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</si>
  <si>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안에 순풍이 없을 때 지원도가 가장 높은 연도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</si>
  <si>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</si>
  <si>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A17b temperament_line</t>
    </r>
    <r>
      <rPr>
        <sz val="10"/>
        <rFont val="Noto Sans CJK SC"/>
        <family val="2"/>
      </rPr>
      <t xml:space="preserve">을 그대로 넣음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빈칸</t>
    </r>
    <r>
      <rPr>
        <sz val="10"/>
        <rFont val="맑은 고딕"/>
        <family val="0"/>
        <charset val="1"/>
      </rPr>
      <t xml:space="preserve">)</t>
    </r>
  </si>
  <si>
    <t xml:space="preserve">A17a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</si>
  <si>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</si>
  <si>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사용자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별자리 이름</t>
    </r>
  </si>
  <si>
    <t xml:space="preserve">A17b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</si>
  <si>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</si>
  <si>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이벤트 날짜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</si>
  <si>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A18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</si>
  <si>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</si>
  <si>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A16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nickname 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</si>
  <si>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</si>
  <si>
    <t xml:space="preserve">이벤트 별자리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</si>
  <si>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</si>
  <si>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행성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조사는 </t>
    </r>
    <r>
      <rPr>
        <sz val="10"/>
        <rFont val="맑은 고딕"/>
        <family val="0"/>
        <charset val="1"/>
      </rPr>
      <t xml:space="preserve">josa </t>
    </r>
    <r>
      <rPr>
        <sz val="10"/>
        <rFont val="Noto Sans CJK SC"/>
        <family val="2"/>
      </rPr>
      <t xml:space="preserve">함수가 받침에 맞춰 처리</t>
    </r>
  </si>
  <si>
    <t xml:space="preserve">DB</t>
  </si>
  <si>
    <t xml:space="preserve">이름</t>
  </si>
  <si>
    <t xml:space="preserve">화면에서 쓰는 곳</t>
  </si>
  <si>
    <t xml:space="preserve">행 수</t>
  </si>
  <si>
    <t xml:space="preserve">승인</t>
  </si>
  <si>
    <t xml:space="preserve">수정필요</t>
  </si>
  <si>
    <t xml:space="preserve">삭제</t>
  </si>
  <si>
    <t xml:space="preserve">미검수</t>
  </si>
  <si>
    <t xml:space="preserve">진행률</t>
  </si>
  <si>
    <t xml:space="preserve">A1</t>
  </si>
  <si>
    <t xml:space="preserve">별자리 기본 정보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</si>
  <si>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휠 별자리 칸 탭</t>
    </r>
  </si>
  <si>
    <t xml:space="preserve">A2</t>
  </si>
  <si>
    <r>
      <rPr>
        <sz val="10"/>
        <rFont val="Noto Sans CJK SC"/>
        <family val="2"/>
      </rPr>
      <t xml:space="preserve">태양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</si>
  <si>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행</t>
    </r>
    <r>
      <rPr>
        <sz val="10"/>
        <rFont val="맑은 고딕"/>
        <family val="0"/>
        <charset val="1"/>
      </rPr>
      <t xml:space="preserve">)</t>
    </r>
  </si>
  <si>
    <t xml:space="preserve">A3</t>
  </si>
  <si>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</si>
  <si>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 행</t>
    </r>
    <r>
      <rPr>
        <sz val="10"/>
        <rFont val="맑은 고딕"/>
        <family val="0"/>
        <charset val="1"/>
      </rPr>
      <t xml:space="preserve">)</t>
    </r>
  </si>
  <si>
    <t xml:space="preserve">A4</t>
  </si>
  <si>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</si>
  <si>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 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</si>
  <si>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A5</t>
  </si>
  <si>
    <r>
      <rPr>
        <sz val="10"/>
        <rFont val="Noto Sans CJK SC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점성술판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</si>
  <si>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— 당분간 </t>
    </r>
    <r>
      <rPr>
        <sz val="10"/>
        <rFont val="맑은 고딕"/>
        <family val="0"/>
        <charset val="1"/>
      </rPr>
      <t xml:space="preserve">show_character=false: </t>
    </r>
    <r>
      <rPr>
        <sz val="10"/>
        <rFont val="Noto Sans CJK SC"/>
        <family val="2"/>
      </rPr>
      <t xml:space="preserve">동물 이름</t>
    </r>
    <r>
      <rPr>
        <sz val="10"/>
        <rFont val="맑은 고딕"/>
        <family val="0"/>
        <charset val="1"/>
      </rPr>
      <t xml:space="preserve">·intro·share_line</t>
    </r>
    <r>
      <rPr>
        <sz val="10"/>
        <rFont val="Noto Sans CJK SC"/>
        <family val="2"/>
      </rPr>
      <t xml:space="preserve">은 화면에 쓰지 않고 </t>
    </r>
    <r>
      <rPr>
        <sz val="10"/>
        <rFont val="맑은 고딕"/>
        <family val="0"/>
        <charset val="1"/>
      </rPr>
      <t xml:space="preserve">type_line + why_text</t>
    </r>
    <r>
      <rPr>
        <sz val="10"/>
        <rFont val="Noto Sans CJK SC"/>
        <family val="2"/>
      </rPr>
      <t xml:space="preserve">만 사용</t>
    </r>
  </si>
  <si>
    <t xml:space="preserve">A6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</si>
  <si>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5 · </t>
    </r>
    <r>
      <rPr>
        <sz val="10"/>
        <rFont val="Noto Sans CJK SC"/>
        <family val="2"/>
      </rPr>
      <t xml:space="preserve">방식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</si>
  <si>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캐릭터 설명</t>
    </r>
  </si>
  <si>
    <t xml:space="preserve">A7</t>
  </si>
  <si>
    <r>
      <rPr>
        <sz val="10"/>
        <rFont val="Noto Sans CJK SC"/>
        <family val="2"/>
      </rPr>
      <t xml:space="preserve">원소 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</si>
  <si>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원소 막대 아래 문장</t>
    </r>
  </si>
  <si>
    <t xml:space="preserve">A8</t>
  </si>
  <si>
    <t xml:space="preserve">트랜짓 이벤트 문장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</si>
  <si>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, 2027·5</t>
    </r>
    <r>
      <rPr>
        <sz val="10"/>
        <rFont val="Noto Sans CJK SC"/>
        <family val="2"/>
      </rPr>
      <t xml:space="preserve">년 파트 핵심 문장</t>
    </r>
  </si>
  <si>
    <t xml:space="preserve">A9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</si>
  <si>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하우스 통과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</si>
  <si>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한 해 키워드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연도별 테마</t>
    </r>
  </si>
  <si>
    <t xml:space="preserve">A10</t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</si>
  <si>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단기 역행</t>
    </r>
  </si>
  <si>
    <r>
      <rPr>
        <sz val="10"/>
        <rFont val="Noto Sans CJK SC"/>
        <family val="2"/>
      </rPr>
      <t xml:space="preserve">연말 월별 표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무엇을 조심할까</t>
    </r>
    <r>
      <rPr>
        <sz val="10"/>
        <rFont val="맑은 고딕"/>
        <family val="0"/>
        <charset val="1"/>
      </rPr>
      <t xml:space="preserve">'), 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왜 그럴까</t>
    </r>
    <r>
      <rPr>
        <sz val="10"/>
        <rFont val="맑은 고딕"/>
        <family val="0"/>
        <charset val="1"/>
      </rPr>
      <t xml:space="preserve">'), 2027 1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)</t>
    </r>
  </si>
  <si>
    <t xml:space="preserve">A11</t>
  </si>
  <si>
    <r>
      <rPr>
        <sz val="10"/>
        <rFont val="Noto Sans CJK SC"/>
        <family val="2"/>
      </rPr>
      <t xml:space="preserve">하늘의 공통 흐름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~2031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</si>
  <si>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타임라인 배경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 문구</t>
    </r>
  </si>
  <si>
    <t xml:space="preserve">A12</t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</si>
  <si>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공감 도입문 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한 단어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</si>
  <si>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섹션 두 번째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문단은 결론</t>
    </r>
    <r>
      <rPr>
        <sz val="10"/>
        <rFont val="맑은 고딕"/>
        <family val="0"/>
        <charset val="1"/>
      </rPr>
      <t xml:space="preserve">) · closing</t>
    </r>
    <r>
      <rPr>
        <sz val="10"/>
        <rFont val="Noto Sans CJK SC"/>
        <family val="2"/>
      </rPr>
      <t xml:space="preserve">은 같은 섹션 마지막 문단 </t>
    </r>
    <r>
      <rPr>
        <sz val="10"/>
        <rFont val="맑은 고딕"/>
        <family val="0"/>
        <charset val="1"/>
      </rPr>
      <t xml:space="preserve">· care_note</t>
    </r>
    <r>
      <rPr>
        <sz val="10"/>
        <rFont val="Noto Sans CJK SC"/>
        <family val="2"/>
      </rPr>
      <t xml:space="preserve">는 부드러운 톤</t>
    </r>
    <r>
      <rPr>
        <sz val="10"/>
        <rFont val="맑은 고딕"/>
        <family val="0"/>
        <charset val="1"/>
      </rPr>
      <t xml:space="preserve">(soft=Y)</t>
    </r>
    <r>
      <rPr>
        <sz val="10"/>
        <rFont val="Noto Sans CJK SC"/>
        <family val="2"/>
      </rPr>
      <t xml:space="preserve">일 때 결과 하단</t>
    </r>
  </si>
  <si>
    <t xml:space="preserve">A12b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</si>
  <si>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표현 변형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</si>
  <si>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마무리 — </t>
    </r>
    <r>
      <rPr>
        <sz val="10"/>
        <rFont val="맑은 고딕"/>
        <family val="0"/>
        <charset val="1"/>
      </rPr>
      <t xml:space="preserve">A12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</si>
  <si>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이루어짐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</si>
  <si>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문단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해</t>
    </r>
  </si>
  <si>
    <t xml:space="preserve">A13b</t>
  </si>
  <si>
    <t xml:space="preserve">바람 판정 표현 변형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</si>
  <si>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— </t>
    </r>
    <r>
      <rPr>
        <sz val="10"/>
        <rFont val="맑은 고딕"/>
        <family val="0"/>
        <charset val="1"/>
      </rPr>
      <t xml:space="preserve">A13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</si>
  <si>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t xml:space="preserve">A14</t>
  </si>
  <si>
    <r>
      <rPr>
        <sz val="10"/>
        <rFont val="Noto Sans CJK SC"/>
        <family val="2"/>
      </rPr>
      <t xml:space="preserve">웰니스 실천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</si>
  <si>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작은 실천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연말 파트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작은 실천</t>
    </r>
    <r>
      <rPr>
        <sz val="10"/>
        <rFont val="맑은 고딕"/>
        <family val="0"/>
        <charset val="1"/>
      </rPr>
      <t xml:space="preserve">' — </t>
    </r>
    <r>
      <rPr>
        <sz val="10"/>
        <rFont val="Noto Sans CJK SC"/>
        <family val="2"/>
      </rPr>
      <t xml:space="preserve">실천 통합본 </t>
    </r>
    <r>
      <rPr>
        <sz val="10"/>
        <rFont val="맑은 고딕"/>
        <family val="0"/>
        <charset val="1"/>
      </rPr>
      <t xml:space="preserve">v1.0</t>
    </r>
    <r>
      <rPr>
        <sz val="10"/>
        <rFont val="Noto Sans CJK SC"/>
        <family val="2"/>
      </rPr>
      <t xml:space="preserve">에서 선택</t>
    </r>
  </si>
  <si>
    <t xml:space="preserve">A15</t>
  </si>
  <si>
    <t xml:space="preserve">고정 문구</t>
  </si>
  <si>
    <r>
      <rPr>
        <sz val="10"/>
        <rFont val="Noto Sans CJK SC"/>
        <family val="2"/>
      </rPr>
      <t xml:space="preserve">고지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정확도 배지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 확인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 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리포트 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영역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안내</t>
    </r>
  </si>
  <si>
    <t xml:space="preserve">A16</t>
  </si>
  <si>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하우스 뜻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 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</si>
  <si>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시기별 표 접힌 근거의 ‘뜻 한 줄’ 조립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출생차트 휠 탭 시트</t>
    </r>
  </si>
  <si>
    <r>
      <rPr>
        <sz val="10"/>
        <rFont val="Noto Sans CJK SC"/>
        <family val="2"/>
      </rPr>
      <t xml:space="preserve">성찰 질문 은행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2027 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</si>
  <si>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질문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왜 이 질문인지</t>
    </r>
  </si>
  <si>
    <r>
      <rPr>
        <sz val="10"/>
        <rFont val="Noto Sans CJK SC"/>
        <family val="2"/>
      </rPr>
      <t xml:space="preserve">기질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원소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달 원소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</si>
  <si>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캐릭터 섹션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대비 문단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섹션 ‘왜 이 질문인지’의 기질 문장</t>
    </r>
  </si>
  <si>
    <r>
      <rPr>
        <sz val="10"/>
        <rFont val="Noto Sans CJK SC"/>
        <family val="2"/>
      </rPr>
      <t xml:space="preserve">전환점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</si>
  <si>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본문 문단</t>
    </r>
  </si>
  <si>
    <t xml:space="preserve">B1a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</si>
  <si>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</si>
  <si>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외 행성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무료는 첫 문장만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블러</t>
    </r>
    <r>
      <rPr>
        <sz val="10"/>
        <rFont val="맑은 고딕"/>
        <family val="0"/>
        <charset val="1"/>
      </rPr>
      <t xml:space="preserve">)</t>
    </r>
  </si>
  <si>
    <t xml:space="preserve">B1b</t>
  </si>
  <si>
    <r>
      <rPr>
        <sz val="10"/>
        <rFont val="Noto Sans CJK SC"/>
        <family val="2"/>
      </rPr>
      <t xml:space="preserve">세대 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</si>
  <si>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t xml:space="preserve">출생차트 휠 행성 탭 시트</t>
  </si>
  <si>
    <t xml:space="preserve">B2a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</si>
  <si>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</si>
  <si>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 표의 하우스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</si>
  <si>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B2b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</si>
  <si>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</si>
  <si>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</si>
  <si>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B3</t>
  </si>
  <si>
    <t xml:space="preserve">출생차트 주요 각도</t>
  </si>
  <si>
    <r>
      <rPr>
        <sz val="10"/>
        <rFont val="Noto Sans CJK SC"/>
        <family val="2"/>
      </rPr>
      <t xml:space="preserve">출생차트 휠 선 탭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캐릭터 근거 보조</t>
    </r>
  </si>
  <si>
    <t xml:space="preserve">B6</t>
  </si>
  <si>
    <t xml:space="preserve">캐릭터 후보 선택 카드</t>
  </si>
  <si>
    <r>
      <rPr>
        <sz val="10"/>
        <rFont val="Noto Sans CJK SC"/>
        <family val="2"/>
      </rPr>
      <t xml:space="preserve">동점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시간대</t>
    </r>
    <r>
      <rPr>
        <sz val="10"/>
        <rFont val="맑은 고딕"/>
        <family val="0"/>
        <charset val="1"/>
      </rPr>
      <t xml:space="preserve">(B·C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후보 확인 화면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요즘의 나와 더 가까운 건</t>
    </r>
    <r>
      <rPr>
        <sz val="10"/>
        <rFont val="맑은 고딕"/>
        <family val="0"/>
        <charset val="1"/>
      </rPr>
      <t xml:space="preserve">?'</t>
    </r>
  </si>
  <si>
    <t xml:space="preserve">B7</t>
  </si>
  <si>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키울 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캐릭터별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</si>
  <si>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', '• </t>
    </r>
    <r>
      <rPr>
        <sz val="10"/>
        <rFont val="Noto Sans CJK SC"/>
        <family val="2"/>
      </rPr>
      <t xml:space="preserve">키울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문단의 뼈대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바람과 잇기만</t>
    </r>
    <r>
      <rPr>
        <sz val="10"/>
        <rFont val="맑은 고딕"/>
        <family val="0"/>
        <charset val="1"/>
      </rPr>
      <t xml:space="preserve">)</t>
    </r>
  </si>
  <si>
    <t xml:space="preserve">B8</t>
  </si>
  <si>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(Q1)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</si>
  <si>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·2027 </t>
    </r>
    <r>
      <rPr>
        <sz val="10"/>
        <rFont val="Noto Sans CJK SC"/>
        <family val="2"/>
      </rPr>
      <t xml:space="preserve">파트 도입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고민 영역 이벤트 없을 때</t>
    </r>
  </si>
  <si>
    <t xml:space="preserve">B9</t>
  </si>
  <si>
    <r>
      <rPr>
        <sz val="10"/>
        <rFont val="Noto Sans CJK SC"/>
        <family val="2"/>
      </rPr>
      <t xml:space="preserve">움직임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기질 문장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</si>
  <si>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뒤 한 문장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움직임 배지 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타임라인 범례</t>
    </r>
  </si>
  <si>
    <t xml:space="preserve">B10</t>
  </si>
  <si>
    <r>
      <rPr>
        <sz val="10"/>
        <rFont val="Noto Sans CJK SC"/>
        <family val="2"/>
      </rPr>
      <t xml:space="preserve">경계 구간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 기준선 </t>
    </r>
    <r>
      <rPr>
        <sz val="10"/>
        <rFont val="맑은 고딕"/>
        <family val="0"/>
        <charset val="1"/>
      </rPr>
      <t xml:space="preserve">±1)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</si>
  <si>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판정 문단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 본문과 표 칸 뒤 배지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 </t>
    </r>
    <r>
      <rPr>
        <sz val="10"/>
        <rFont val="맑은 고딕"/>
        <family val="0"/>
        <charset val="1"/>
      </rPr>
      <t xml:space="preserve">label()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edge_db </t>
    </r>
    <r>
      <rPr>
        <sz val="10"/>
        <rFont val="Noto Sans CJK SC"/>
        <family val="2"/>
      </rPr>
      <t xml:space="preserve">값으로 선택</t>
    </r>
  </si>
  <si>
    <t xml:space="preserve">B11</t>
  </si>
  <si>
    <r>
      <rPr>
        <sz val="10"/>
        <rFont val="Noto Sans CJK SC"/>
        <family val="2"/>
      </rPr>
      <t xml:space="preserve">요약 문장 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화면 고정 문구 </t>
    </r>
    <r>
      <rPr>
        <sz val="10"/>
        <rFont val="맑은 고딕"/>
        <family val="0"/>
        <charset val="1"/>
      </rPr>
      <t xml:space="preserve">(2026-10-09)</t>
    </r>
  </si>
  <si>
    <r>
      <rPr>
        <sz val="10"/>
        <rFont val="Noto Sans CJK SC"/>
        <family val="2"/>
      </rPr>
      <t xml:space="preserve">섹션 </t>
    </r>
    <r>
      <rPr>
        <sz val="10"/>
        <rFont val="맑은 고딕"/>
        <family val="0"/>
        <charset val="1"/>
      </rPr>
      <t xml:space="preserve">2~7 </t>
    </r>
    <r>
      <rPr>
        <sz val="10"/>
        <rFont val="Noto Sans CJK SC"/>
        <family val="2"/>
      </rPr>
      <t xml:space="preserve">첫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굵게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연말 조심할 것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소제목</t>
    </r>
    <r>
      <rPr>
        <sz val="10"/>
        <rFont val="맑은 고딕"/>
        <family val="0"/>
        <charset val="1"/>
      </rPr>
      <t xml:space="preserve">, 2027 </t>
    </r>
    <r>
      <rPr>
        <sz val="10"/>
        <rFont val="Noto Sans CJK SC"/>
        <family val="2"/>
      </rPr>
      <t xml:space="preserve">흐름 단계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로그인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결제 팝업</t>
    </r>
  </si>
  <si>
    <t xml:space="preserve">B12</t>
  </si>
  <si>
    <r>
      <rPr>
        <sz val="10"/>
        <rFont val="Noto Sans CJK SC"/>
        <family val="2"/>
      </rPr>
      <t xml:space="preserve">바람과 흐름 잇기 —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</si>
  <si>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바로 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평소에는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문장을 쓰고</t>
    </r>
    <r>
      <rPr>
        <sz val="10"/>
        <rFont val="맑은 고딕"/>
        <family val="0"/>
        <charset val="1"/>
      </rPr>
      <t xml:space="preserve">(06 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0"/>
        <charset val="1"/>
      </rPr>
      <t xml:space="preserve">wish_bridge_2027 / wish_bridge_5y), </t>
    </r>
    <r>
      <rPr>
        <sz val="10"/>
        <rFont val="Noto Sans CJK SC"/>
        <family val="2"/>
      </rPr>
      <t xml:space="preserve">검증 실패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초과일 때 이 문장을 쓴다</t>
    </r>
  </si>
  <si>
    <t xml:space="preserve">C1</t>
  </si>
  <si>
    <r>
      <rPr>
        <sz val="10"/>
        <rFont val="Noto Sans CJK SC"/>
        <family val="2"/>
      </rPr>
      <t xml:space="preserve">금지어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대체어 사전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검증용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</si>
  <si>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validate: DB </t>
    </r>
    <r>
      <rPr>
        <sz val="10"/>
        <rFont val="Noto Sans CJK SC"/>
        <family val="2"/>
      </rPr>
      <t xml:space="preserve">문장 검수 </t>
    </r>
    <r>
      <rPr>
        <sz val="10"/>
        <rFont val="맑은 고딕"/>
        <family val="0"/>
        <charset val="1"/>
      </rPr>
      <t xml:space="preserve">+ AI </t>
    </r>
    <r>
      <rPr>
        <sz val="10"/>
        <rFont val="Noto Sans CJK SC"/>
        <family val="2"/>
      </rPr>
      <t xml:space="preserve">출력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</t>
    </r>
  </si>
  <si>
    <t xml:space="preserve">C2</t>
  </si>
  <si>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가중치 설정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엔진용 데이터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</si>
  <si>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, Q1 </t>
    </r>
    <r>
      <rPr>
        <sz val="10"/>
        <rFont val="Noto Sans CJK SC"/>
        <family val="2"/>
      </rPr>
      <t xml:space="preserve">가산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바람 이루어짐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움직임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기질</t>
    </r>
    <r>
      <rPr>
        <sz val="10"/>
        <rFont val="맑은 고딕"/>
        <family val="0"/>
        <charset val="1"/>
      </rPr>
      <t xml:space="preserve">. v3 (2026-10-08) — </t>
    </r>
    <r>
      <rPr>
        <sz val="10"/>
        <rFont val="Noto Sans CJK SC"/>
        <family val="2"/>
      </rPr>
      <t xml:space="preserve">파일럿 후 조정</t>
    </r>
  </si>
  <si>
    <t xml:space="preserve">합계</t>
  </si>
  <si>
    <t xml:space="preserve">ID</t>
  </si>
  <si>
    <t xml:space="preserve">별자리</t>
  </si>
  <si>
    <t xml:space="preserve">영문명</t>
  </si>
  <si>
    <t xml:space="preserve">기호</t>
  </si>
  <si>
    <r>
      <rPr>
        <b val="true"/>
        <sz val="10"/>
        <color rgb="FFFDF6E9"/>
        <rFont val="Noto Sans CJK SC"/>
        <family val="2"/>
      </rPr>
      <t xml:space="preserve">태양 기간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대략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</si>
  <si>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원소</t>
  </si>
  <si>
    <t xml:space="preserve">성질</t>
  </si>
  <si>
    <t xml:space="preserve">수호성</t>
  </si>
  <si>
    <t xml:space="preserve">키워드</t>
  </si>
  <si>
    <t xml:space="preserve">한 줄 소개</t>
  </si>
  <si>
    <t xml:space="preserve">별자리 칸 탭 설명</t>
  </si>
  <si>
    <t xml:space="preserve">검수 메모</t>
  </si>
  <si>
    <t xml:space="preserve">검수상태</t>
  </si>
  <si>
    <t xml:space="preserve">수정 문장</t>
  </si>
  <si>
    <t xml:space="preserve">상담사 메모</t>
  </si>
  <si>
    <t xml:space="preserve">SIGN_ARIES</t>
  </si>
  <si>
    <t xml:space="preserve">양자리</t>
  </si>
  <si>
    <t xml:space="preserve">Aries</t>
  </si>
  <si>
    <t xml:space="preserve">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</si>
  <si>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</si>
  <si>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불</t>
  </si>
  <si>
    <t xml:space="preserve">활동</t>
  </si>
  <si>
    <t xml:space="preserve">화성</t>
  </si>
  <si>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직진</t>
    </r>
  </si>
  <si>
    <r>
      <rPr>
        <sz val="10"/>
        <rFont val="Noto Sans CJK SC"/>
        <family val="2"/>
      </rPr>
      <t xml:space="preserve">먼저 불을 붙이고 부딪히며 길을 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</si>
  <si>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양자리는 열두 별자리의 첫 번째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처음 시작하는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일단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몸으로 부딪히며 배우는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</si>
  <si>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dates </t>
    </r>
    <r>
      <rPr>
        <sz val="10"/>
        <rFont val="Noto Sans CJK SC"/>
        <family val="2"/>
      </rPr>
      <t xml:space="preserve">칸은 안내용 대략값입니다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별자리를 옮기는 날은 해마다 하루 정도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별자리 판정은 엔진 계산값을 따르고 경계일 출생자에게 이 날짜를 근거로 설명하지 않도록 해 주세요</t>
    </r>
    <r>
      <rPr>
        <sz val="10"/>
        <rFont val="맑은 고딕"/>
        <family val="0"/>
        <charset val="1"/>
      </rPr>
      <t xml:space="preserve">.</t>
    </r>
  </si>
  <si>
    <t xml:space="preserve">SIGN_TAURUS</t>
  </si>
  <si>
    <t xml:space="preserve">황소자리</t>
  </si>
  <si>
    <t xml:space="preserve">Taurus</t>
  </si>
  <si>
    <t xml:space="preserve">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</si>
  <si>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</si>
  <si>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t xml:space="preserve">흙</t>
  </si>
  <si>
    <t xml:space="preserve">고정</t>
  </si>
  <si>
    <t xml:space="preserve">금성</t>
  </si>
  <si>
    <r>
      <rPr>
        <sz val="10"/>
        <rFont val="Noto Sans CJK SC"/>
        <family val="2"/>
      </rPr>
      <t xml:space="preserve">안정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꾸준함</t>
    </r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</si>
  <si>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</si>
  <si>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황소자리는 손에 잡히는 안정과 몸의 감각을 소중히 여기는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맛있는 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것에서 힘을 얻는 자리입니다</t>
    </r>
    <r>
      <rPr>
        <sz val="10"/>
        <rFont val="맑은 고딕"/>
        <family val="0"/>
        <charset val="1"/>
      </rPr>
      <t xml:space="preserve">.</t>
    </r>
  </si>
  <si>
    <t xml:space="preserve">SIGN_GEMINI</t>
  </si>
  <si>
    <t xml:space="preserve">쌍둥이자리</t>
  </si>
  <si>
    <t xml:space="preserve">Gemini</t>
  </si>
  <si>
    <t xml:space="preserve">♊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</si>
  <si>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</si>
  <si>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공기</t>
  </si>
  <si>
    <t xml:space="preserve">변통</t>
  </si>
  <si>
    <t xml:space="preserve">수성</t>
  </si>
  <si>
    <r>
      <rPr>
        <sz val="10"/>
        <rFont val="Noto Sans CJK SC"/>
        <family val="2"/>
      </rPr>
      <t xml:space="preserve">호기심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</si>
  <si>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궁금한 것을 묻고 잇고 전하며 세상을 넓히는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</si>
  <si>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쌍둥이자리는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정보가 빠르게 오가는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가지에 머물기보다 여러 이야기를 연결하며 가볍게 움직일 때 살아나요</t>
    </r>
    <r>
      <rPr>
        <sz val="10"/>
        <rFont val="맑은 고딕"/>
        <family val="0"/>
        <charset val="1"/>
      </rPr>
      <t xml:space="preserve">.</t>
    </r>
  </si>
  <si>
    <t xml:space="preserve">SIGN_CANCER</t>
  </si>
  <si>
    <t xml:space="preserve">게자리</t>
  </si>
  <si>
    <t xml:space="preserve">Cancer</t>
  </si>
  <si>
    <t xml:space="preserve">♋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</si>
  <si>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</si>
  <si>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물</t>
  </si>
  <si>
    <t xml:space="preserve">달</t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</si>
  <si>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소속감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</si>
  <si>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내 사람과 내 자리를 따뜻하게 지키는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</si>
  <si>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게자리는 품고 돌보는 기운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돌아갈 집을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단단한 껍질 안에 여린 속을 지니고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안전하다고 느끼는 곳에서 가장 다정해집니다</t>
    </r>
    <r>
      <rPr>
        <sz val="10"/>
        <rFont val="맑은 고딕"/>
        <family val="0"/>
        <charset val="1"/>
      </rPr>
      <t xml:space="preserve">.</t>
    </r>
  </si>
  <si>
    <t xml:space="preserve">SIGN_LEO</t>
  </si>
  <si>
    <t xml:space="preserve">사자자리</t>
  </si>
  <si>
    <t xml:space="preserve">Leo</t>
  </si>
  <si>
    <t xml:space="preserve">♌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</si>
  <si>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</si>
  <si>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태양</t>
  </si>
  <si>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자부심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온기</t>
    </r>
  </si>
  <si>
    <r>
      <rPr>
        <sz val="10"/>
        <rFont val="Noto Sans CJK SC"/>
        <family val="2"/>
      </rPr>
      <t xml:space="preserve">자기만의 빛을 드러내고 주변을 환하게 데우는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</si>
  <si>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소중한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</si>
  <si>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t xml:space="preserve">SIGN_VIRGO</t>
  </si>
  <si>
    <t xml:space="preserve">처녀자리</t>
  </si>
  <si>
    <t xml:space="preserve">Virgo</t>
  </si>
  <si>
    <t xml:space="preserve">♍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</si>
  <si>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</si>
  <si>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섬세함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쓸모</t>
    </r>
  </si>
  <si>
    <r>
      <rPr>
        <sz val="10"/>
        <rFont val="Noto Sans CJK SC"/>
        <family val="2"/>
      </rPr>
      <t xml:space="preserve">작은 것을 살피고 다듬어 더 낫게 만드는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</si>
  <si>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처녀자리는 흩어진 것을 분류하고 고치고 다듬는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잘 띄지 않는 일상의 디테일에서 쓸모를 찾아내는 성실함을 상징합니다</t>
    </r>
    <r>
      <rPr>
        <sz val="10"/>
        <rFont val="맑은 고딕"/>
        <family val="0"/>
        <charset val="1"/>
      </rPr>
      <t xml:space="preserve">.</t>
    </r>
  </si>
  <si>
    <t xml:space="preserve">SIGN_LIBRA</t>
  </si>
  <si>
    <t xml:space="preserve">천칭자리</t>
  </si>
  <si>
    <t xml:space="preserve">Libra</t>
  </si>
  <si>
    <t xml:space="preserve">♎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</si>
  <si>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</si>
  <si>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균형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관계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아름다움</t>
    </r>
  </si>
  <si>
    <r>
      <rPr>
        <sz val="10"/>
        <rFont val="Noto Sans CJK SC"/>
        <family val="2"/>
      </rPr>
      <t xml:space="preserve">서로의 마음이 기울지 않도록 균형을 맞추는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</si>
  <si>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천칭자리는 나와 너 사이의 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조화로운 관계를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공정함과 아름다움을 중요하게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때 더 좋은 답을 찾는 기운이에요</t>
    </r>
    <r>
      <rPr>
        <sz val="10"/>
        <rFont val="맑은 고딕"/>
        <family val="0"/>
        <charset val="1"/>
      </rPr>
      <t xml:space="preserve">.</t>
    </r>
  </si>
  <si>
    <t xml:space="preserve">SIGN_SCORPIO</t>
  </si>
  <si>
    <t xml:space="preserve">전갈자리</t>
  </si>
  <si>
    <t xml:space="preserve">Scorpio</t>
  </si>
  <si>
    <t xml:space="preserve">♏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</si>
  <si>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</si>
  <si>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</si>
  <si>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변형</t>
    </r>
  </si>
  <si>
    <r>
      <rPr>
        <sz val="10"/>
        <rFont val="Noto Sans CJK SC"/>
        <family val="2"/>
      </rPr>
      <t xml:space="preserve">얕게 머물지 않고 끝까지 파고드는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</si>
  <si>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전갈자리는 겉보다 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넓이보다 깊이를 향하는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주면 깊게 연결되고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 다시 일어서는 힘을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</si>
  <si>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수호성은 현대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앞에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전통 수호성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괄호에 적었습니다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물고기자리도 같은 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하나만 노출할지 확인 부탁드립니다</t>
    </r>
    <r>
      <rPr>
        <sz val="10"/>
        <rFont val="맑은 고딕"/>
        <family val="0"/>
        <charset val="1"/>
      </rPr>
      <t xml:space="preserve">.</t>
    </r>
  </si>
  <si>
    <t xml:space="preserve">SIGN_SAGITTARIUS</t>
  </si>
  <si>
    <t xml:space="preserve">사수자리</t>
  </si>
  <si>
    <t xml:space="preserve">Sagittarius</t>
  </si>
  <si>
    <t xml:space="preserve">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</si>
  <si>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</si>
  <si>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목성</t>
  </si>
  <si>
    <r>
      <rPr>
        <sz val="10"/>
        <rFont val="Noto Sans CJK SC"/>
        <family val="2"/>
      </rPr>
      <t xml:space="preserve">탐험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의미</t>
    </r>
  </si>
  <si>
    <r>
      <rPr>
        <sz val="10"/>
        <rFont val="Noto Sans CJK SC"/>
        <family val="2"/>
      </rPr>
      <t xml:space="preserve">더 넓은 세상과 더 큰 의미를 향해 활을 쏘는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</si>
  <si>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사수자리는 멀리 가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믿음을 찾아가는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낙천적인 시선으로 익숙한 경계를 넘어설 때 살아나는 자리예요</t>
    </r>
    <r>
      <rPr>
        <sz val="10"/>
        <rFont val="맑은 고딕"/>
        <family val="0"/>
        <charset val="1"/>
      </rPr>
      <t xml:space="preserve">.</t>
    </r>
  </si>
  <si>
    <t xml:space="preserve">SIGN_CAPRICORN</t>
  </si>
  <si>
    <t xml:space="preserve">염소자리</t>
  </si>
  <si>
    <t xml:space="preserve">Capricorn</t>
  </si>
  <si>
    <t xml:space="preserve">♑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</si>
  <si>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</si>
  <si>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토성</t>
  </si>
  <si>
    <r>
      <rPr>
        <sz val="10"/>
        <rFont val="Noto Sans CJK SC"/>
        <family val="2"/>
      </rPr>
      <t xml:space="preserve">책임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</t>
    </r>
  </si>
  <si>
    <r>
      <rPr>
        <sz val="10"/>
        <rFont val="Noto Sans CJK SC"/>
        <family val="2"/>
      </rPr>
      <t xml:space="preserve">긴 시간을 들여 한 계단씩 정상에 오르는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</si>
  <si>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염소자리는 목표를 세우고 차근차근 쌓아 올리는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당장의 성과보다 오래 버티는 구조와 믿을 만한 결과를 중요하게 여기는 자리입니다</t>
    </r>
    <r>
      <rPr>
        <sz val="10"/>
        <rFont val="맑은 고딕"/>
        <family val="0"/>
        <charset val="1"/>
      </rPr>
      <t xml:space="preserve">.</t>
    </r>
  </si>
  <si>
    <t xml:space="preserve">SIGN_AQUARIUS</t>
  </si>
  <si>
    <t xml:space="preserve">물병자리</t>
  </si>
  <si>
    <t xml:space="preserve">Aquarius</t>
  </si>
  <si>
    <t xml:space="preserve">♒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</si>
  <si>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</si>
  <si>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</si>
  <si>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</si>
  <si>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익숙한 틀 밖에서 새로운 방식을 떠올리는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</si>
  <si>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물병자리는 남과 다른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더 나은 미래를 향한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개인의 자유를 지키면서도 여럿이 함께 잘 사는 방법을 고민하는 자리예요</t>
    </r>
    <r>
      <rPr>
        <sz val="10"/>
        <rFont val="맑은 고딕"/>
        <family val="0"/>
        <charset val="1"/>
      </rPr>
      <t xml:space="preserve">.</t>
    </r>
  </si>
  <si>
    <t xml:space="preserve">SIGN_PISCES</t>
  </si>
  <si>
    <t xml:space="preserve">물고기자리</t>
  </si>
  <si>
    <t xml:space="preserve">Pisces</t>
  </si>
  <si>
    <t xml:space="preserve">♓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</si>
  <si>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</si>
  <si>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</si>
  <si>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흐름</t>
    </r>
  </si>
  <si>
    <r>
      <rPr>
        <sz val="10"/>
        <rFont val="Noto Sans CJK SC"/>
        <family val="2"/>
      </rPr>
      <t xml:space="preserve">경계 없이 스며들며 남의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</si>
  <si>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물고기자리는 열두 별자리의 마지막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경계를 풀고 하나로 녹아드는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말로 다 설명되지 않는 감각을 상징합니다</t>
    </r>
    <r>
      <rPr>
        <sz val="10"/>
        <rFont val="맑은 고딕"/>
        <family val="0"/>
        <charset val="1"/>
      </rPr>
      <t xml:space="preserve">.</t>
    </r>
  </si>
  <si>
    <t xml:space="preserve">표 한 줄 해석</t>
  </si>
  <si>
    <t xml:space="preserve">본문</t>
  </si>
  <si>
    <t xml:space="preserve">지나칠 때</t>
  </si>
  <si>
    <t xml:space="preserve">SUN_ARIES</t>
  </si>
  <si>
    <r>
      <rPr>
        <sz val="10"/>
        <rFont val="Noto Sans CJK SC"/>
        <family val="2"/>
      </rPr>
      <t xml:space="preserve">먼저 시작하고 부딪히며 배우는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도전 앞에서 가장 살아 있다고 느낍니다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</si>
  <si>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‘해 보고 싶다’는 순수한 의욕입니다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아무도 손들지 않을 때 먼저 ‘제가 해 볼게요’라고 말하는 쪽이 당신일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붙을 때 오히려 머리가 맑아지는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</si>
  <si>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급해지면 끝까지 듣기 전에 결론부터 내려 버리기 쉬워요</t>
    </r>
    <r>
      <rPr>
        <sz val="10"/>
        <rFont val="맑은 고딕"/>
        <family val="0"/>
        <charset val="1"/>
      </rPr>
      <t xml:space="preserve">.</t>
    </r>
  </si>
  <si>
    <t xml:space="preserve">SUN_TAURUS</t>
  </si>
  <si>
    <r>
      <rPr>
        <sz val="10"/>
        <rFont val="Noto Sans CJK SC"/>
        <family val="2"/>
      </rPr>
      <t xml:space="preserve">천천히 쌓아 올린 안정 위에서 힘을 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속도와 감각을 믿을 때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</si>
  <si>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손에 잡히는 결과와 오래가는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</si>
  <si>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익숙함을 지키려다 꼭 필요한 변화까지 미뤄 둘 때가 있어요</t>
    </r>
    <r>
      <rPr>
        <sz val="10"/>
        <rFont val="맑은 고딕"/>
        <family val="0"/>
        <charset val="1"/>
      </rPr>
      <t xml:space="preserve">.</t>
    </r>
  </si>
  <si>
    <t xml:space="preserve">SUN_GEMINI</t>
  </si>
  <si>
    <r>
      <rPr>
        <sz val="10"/>
        <rFont val="Noto Sans CJK SC"/>
        <family val="2"/>
      </rPr>
      <t xml:space="preserve">궁금한 것을 따라가며 생각과 사람을 연결하는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이야기가 오갈 때 에너지가 차오릅니다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</si>
  <si>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왜 그럴까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호기심입니다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점심시간에 들은 이야기를 저녁에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날 누군가에게 신나게 전해 주는 장면이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머릿속에 창이 여러 개 열려 있을 때 오히려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</si>
  <si>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관심이 여러 곳으로 흩어지면 마무리 직전에 흥미가 식기도 해요</t>
    </r>
    <r>
      <rPr>
        <sz val="10"/>
        <rFont val="맑은 고딕"/>
        <family val="0"/>
        <charset val="1"/>
      </rPr>
      <t xml:space="preserve">.</t>
    </r>
  </si>
  <si>
    <t xml:space="preserve">SUN_CANCER</t>
  </si>
  <si>
    <r>
      <rPr>
        <sz val="10"/>
        <rFont val="Noto Sans CJK SC"/>
        <family val="2"/>
      </rPr>
      <t xml:space="preserve">아끼는 사람과 머물 곳을 지키는 데서 힘이 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챙길 때 마음이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</si>
  <si>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‘내 사람들이 편안했으면’ 하는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지나가듯 한 말을 기억해 두었다가 다음 만남에 작은 간식을 챙겨 가는 다정함이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자리가 든든할수록 바깥에서도 용감해져요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</si>
  <si>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챙기느라 정작 내 마음의 허기는 뒤로 미루기 쉽습니다</t>
    </r>
    <r>
      <rPr>
        <sz val="10"/>
        <rFont val="맑은 고딕"/>
        <family val="0"/>
        <charset val="1"/>
      </rPr>
      <t xml:space="preserve">.</t>
    </r>
  </si>
  <si>
    <t xml:space="preserve">SUN_LEO</t>
  </si>
  <si>
    <r>
      <rPr>
        <sz val="10"/>
        <rFont val="Noto Sans CJK SC"/>
        <family val="2"/>
      </rPr>
      <t xml:space="preserve">나다운 빛을 드러내고 누군가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</si>
  <si>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내가 만든 거야’라고 말할 수 있는 자부심입니다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 한 장도 그냥 넘기지 않고 내 색을 입혀야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주변을 즐겁게 만들 때 스스로도 가장 따뜻해집니다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</si>
  <si>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애쓴 만큼 알아봐 주지 않으면 서운함이 생각보다 오래 남을 수 있어요</t>
    </r>
    <r>
      <rPr>
        <sz val="10"/>
        <rFont val="맑은 고딕"/>
        <family val="0"/>
        <charset val="1"/>
      </rPr>
      <t xml:space="preserve">.</t>
    </r>
  </si>
  <si>
    <t xml:space="preserve">SUN_VIRGO</t>
  </si>
  <si>
    <r>
      <rPr>
        <sz val="10"/>
        <rFont val="Noto Sans CJK SC"/>
        <family val="2"/>
      </rPr>
      <t xml:space="preserve">작은 것을 다듬어 더 쓸모 있게 만드는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도움이 되고 있다는 감각이 큰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</si>
  <si>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‘조금 더 낫게 할 수 있겠다’ 하는 눈썰미예요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</si>
  <si>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완성도를 높이려다 스스로에게 지나치게 엄격해지기 쉬워요</t>
    </r>
    <r>
      <rPr>
        <sz val="10"/>
        <rFont val="맑은 고딕"/>
        <family val="0"/>
        <charset val="1"/>
      </rPr>
      <t xml:space="preserve">.</t>
    </r>
  </si>
  <si>
    <t xml:space="preserve">SUN_LIBRA</t>
  </si>
  <si>
    <r>
      <rPr>
        <sz val="10"/>
        <rFont val="Noto Sans CJK SC"/>
        <family val="2"/>
      </rPr>
      <t xml:space="preserve">관계 속에서 균형과 조화를 만들어 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함께여서 더 좋은 답을 찾을 때 빛이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</si>
  <si>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모두가 납득할 수 있는 공정함과 아름다움입니다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단체 메뉴를 정할 때 조용히 모두의 취향을 살펴 가장 무난한 곳을 제안하는 사람이 당신일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공간과 분위기가 조화로울 때 생각도 한결 맑아집니다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</si>
  <si>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모두를 만족시키려다 내 마음이 어느 쪽인지 놓칠 때가 있습니다</t>
    </r>
    <r>
      <rPr>
        <sz val="10"/>
        <rFont val="맑은 고딕"/>
        <family val="0"/>
        <charset val="1"/>
      </rPr>
      <t xml:space="preserve">.</t>
    </r>
  </si>
  <si>
    <t xml:space="preserve">SUN_SCORPIO</t>
  </si>
  <si>
    <r>
      <rPr>
        <sz val="10"/>
        <rFont val="Noto Sans CJK SC"/>
        <family val="2"/>
      </rPr>
      <t xml:space="preserve">한번 마음먹은 것에 깊이 몰입하는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진짜를 알아낼 때까지 파고드는 힘이 삶의 중심이에요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</si>
  <si>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겉으로 보이는 것 너머의 진심을 알고 싶은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아는 사람 열 명보다 속 깊은 이야기를 나누는 한 사람이 더 소중하게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드러내지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집중하면 끝까지 가는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</si>
  <si>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믿음이 흔들리면 마음의 문을 한꺼번에 닫아 버리기 쉬워요</t>
    </r>
    <r>
      <rPr>
        <sz val="10"/>
        <rFont val="맑은 고딕"/>
        <family val="0"/>
        <charset val="1"/>
      </rPr>
      <t xml:space="preserve">.</t>
    </r>
  </si>
  <si>
    <t xml:space="preserve">SUN_SAGITTARIUS</t>
  </si>
  <si>
    <r>
      <rPr>
        <sz val="10"/>
        <rFont val="Noto Sans CJK SC"/>
        <family val="2"/>
      </rPr>
      <t xml:space="preserve">더 넓은 세상과 의미를 찾아 나아가는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떠나고 넓어질 때 가장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</si>
  <si>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‘저 너머에는 뭐가 있을까’ 하는 탐험심입니다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 가 보지 않은 동네를 걷거나 새 분야의 책을 집어 드는 일이 큰 충전이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상황에서도 웃을 거리를 찾아내는 낙천성이 주변까지 밝힙니다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</si>
  <si>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자유를 지키려다 약속과 마무리를 가볍게 넘길 때가 있어요</t>
    </r>
    <r>
      <rPr>
        <sz val="10"/>
        <rFont val="맑은 고딕"/>
        <family val="0"/>
        <charset val="1"/>
      </rPr>
      <t xml:space="preserve">.</t>
    </r>
  </si>
  <si>
    <t xml:space="preserve">SUN_CAPRICORN</t>
  </si>
  <si>
    <r>
      <rPr>
        <sz val="10"/>
        <rFont val="Noto Sans CJK SC"/>
        <family val="2"/>
      </rPr>
      <t xml:space="preserve">목표를 세우고 한 계단씩 쌓아 올리는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결과를 만들어 낼 때 마음이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</si>
  <si>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오래 남는 성취와 책임을 다했다는 감각이에요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손을 놓은 일도 일정표를 다시 짜서 끝까지 끌고 가는 끈기가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갈수록 더 깊은 신뢰를 얻는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</si>
  <si>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일에 몰두하다 쉬는 것까지 숙제처럼 느끼기 쉬워요</t>
    </r>
    <r>
      <rPr>
        <sz val="10"/>
        <rFont val="맑은 고딕"/>
        <family val="0"/>
        <charset val="1"/>
      </rPr>
      <t xml:space="preserve">.</t>
    </r>
  </si>
  <si>
    <t xml:space="preserve">SUN_AQUARIUS</t>
  </si>
  <si>
    <r>
      <rPr>
        <sz val="10"/>
        <rFont val="Noto Sans CJK SC"/>
        <family val="2"/>
      </rPr>
      <t xml:space="preserve">남과 다른 시선으로 더 나은 방식을 떠올리는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나답게 자유로울 때 가장 큰 힘이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</si>
  <si>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‘꼭 이렇게 해야 할까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물음입니다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당연하게 따르던 방식에 새로운 도구나 규칙을 제안해 흐름을 바꾸곤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저마다의 개성을 지키면서도 함께 잘 지내는 방법에 관심이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</si>
  <si>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감정보다 생각이 앞서면 가까운 사람에게 거리감을 주기 쉽습니다</t>
    </r>
    <r>
      <rPr>
        <sz val="10"/>
        <rFont val="맑은 고딕"/>
        <family val="0"/>
        <charset val="1"/>
      </rPr>
      <t xml:space="preserve">.</t>
    </r>
  </si>
  <si>
    <t xml:space="preserve">SUN_PISCES</t>
  </si>
  <si>
    <r>
      <rPr>
        <sz val="10"/>
        <rFont val="Noto Sans CJK SC"/>
        <family val="2"/>
      </rPr>
      <t xml:space="preserve">다른 사람의 마음을 섬세하게 느끼고 품어 주는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상상하고 공감할 때 삶이 풍성해져요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</si>
  <si>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말로 다 설명되지 않는 마음의 울림이에요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노래 한 곡에 하루의 기분이 바뀌고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친구의 표정만 보고도 무슨 일이 있는지 알아채곤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부드럽게 녹이는 상상력이 큰 재능입니다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</si>
  <si>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감정을 너무 깊이 받아들여 내 경계가 흐려지기 쉬워요</t>
    </r>
    <r>
      <rPr>
        <sz val="10"/>
        <rFont val="맑은 고딕"/>
        <family val="0"/>
        <charset val="1"/>
      </rPr>
      <t xml:space="preserve">.</t>
    </r>
  </si>
  <si>
    <t xml:space="preserve">마음이 지칠 때</t>
  </si>
  <si>
    <t xml:space="preserve">MOON_ARIES</t>
  </si>
  <si>
    <r>
      <rPr>
        <sz val="10"/>
        <rFont val="Noto Sans CJK SC"/>
        <family val="2"/>
      </rPr>
      <t xml:space="preserve">감정이 빠르고 솔직하게 올라오는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표현하고 움직일 수 있을 때 마음이 풀립니다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</si>
  <si>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더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</si>
  <si>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땀이 살짝 날 만큼 몸을 움직이고 나면 엉킨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</si>
  <si>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MOON_TAURUS</t>
  </si>
  <si>
    <r>
      <rPr>
        <sz val="10"/>
        <rFont val="Noto Sans CJK SC"/>
        <family val="2"/>
      </rPr>
      <t xml:space="preserve">익숙한 리듬과 편안한 감각 속에서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바뀌지 않는 일상이 안정의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</si>
  <si>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겉으로는 잘 드러나지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소화하는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밥 한 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포근한 이불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늘 가던 산책길 같은 감각이 마음을 가장 빨리 진정시킵니다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변화 앞에서는 받아들일 시간이 조금 더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</si>
  <si>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음식과 익숙한 공간에서 천천히 쉬는 시간이 회복을 돕습니다</t>
    </r>
    <r>
      <rPr>
        <sz val="10"/>
        <rFont val="맑은 고딕"/>
        <family val="0"/>
        <charset val="1"/>
      </rPr>
      <t xml:space="preserve">.</t>
    </r>
  </si>
  <si>
    <t xml:space="preserve">MOON_GEMINI</t>
  </si>
  <si>
    <r>
      <rPr>
        <sz val="10"/>
        <rFont val="Noto Sans CJK SC"/>
        <family val="2"/>
      </rPr>
      <t xml:space="preserve">마음을 말로 꺼내고 나눌 때 한결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</si>
  <si>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이야기하거나 글로 적으면서 감정을 이해하는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메신저로 친구와 수다를 떨다 보면 어느새 고민이 정리되어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자리에 오래 갇혀 있으면 마음이 답답해지기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</si>
  <si>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 생각을 종이에 쏟아 내거나 믿는 사람과 가볍게 대화해 보세요</t>
    </r>
    <r>
      <rPr>
        <sz val="10"/>
        <rFont val="맑은 고딕"/>
        <family val="0"/>
        <charset val="1"/>
      </rPr>
      <t xml:space="preserve">.</t>
    </r>
  </si>
  <si>
    <t xml:space="preserve">MOON_CANCER</t>
  </si>
  <si>
    <r>
      <rPr>
        <sz val="10"/>
        <rFont val="Noto Sans CJK SC"/>
        <family val="2"/>
      </rPr>
      <t xml:space="preserve">아끼는 사람과 내 공간이 안전할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돌보고 돌봄 받는 관계가 안정의 뿌리입니다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</si>
  <si>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깊고 섬세하게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분위기의 작은 변화도 금방 알아채는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집에 돌아와 익숙한 음식을 해 먹는 것만으로 마음이 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서운함을 바로 말하기보다 속으로 품는 편이라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상대가 곁에 있는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</si>
  <si>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편안한 사람과 집밥 같은 따뜻한 시간을 보내면 마음이 차오릅니다</t>
    </r>
    <r>
      <rPr>
        <sz val="10"/>
        <rFont val="맑은 고딕"/>
        <family val="0"/>
        <charset val="1"/>
      </rPr>
      <t xml:space="preserve">.</t>
    </r>
  </si>
  <si>
    <t xml:space="preserve">MOON_LEO</t>
  </si>
  <si>
    <r>
      <rPr>
        <sz val="10"/>
        <rFont val="Noto Sans CJK SC"/>
        <family val="2"/>
      </rPr>
      <t xml:space="preserve">내 마음이 진심으로 받아들여질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관심과 반응이 감정의 연료입니다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</si>
  <si>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기쁨도 서운함도 크고 분명하게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준비한 작은 선물에 상대가 환하게 웃어 줄 때 하루의 피로가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상했을 때는 자존심 때문에 괜찮은 척하기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솔직하게 말할 수 있는 자리가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</si>
  <si>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즐겁게 하는 취미에 푹 빠지는 시간이 마음에 다시 불을 켜 줍니다</t>
    </r>
    <r>
      <rPr>
        <sz val="10"/>
        <rFont val="맑은 고딕"/>
        <family val="0"/>
        <charset val="1"/>
      </rPr>
      <t xml:space="preserve">.</t>
    </r>
  </si>
  <si>
    <t xml:space="preserve">MOON_VIRGO</t>
  </si>
  <si>
    <r>
      <rPr>
        <sz val="10"/>
        <rFont val="Noto Sans CJK SC"/>
        <family val="2"/>
      </rPr>
      <t xml:space="preserve">주변이 정돈되고 할 일이 보일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정리하고 고치는 방식으로 다루는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</si>
  <si>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마음이 들면 할 일을 적어 보거나 책상을 치우면서 감정을 가라앉히는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힘들어할 때 위로의 말보다 실질적으로 손을 보태는 것으로 마음을 표현합니다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스스로를 점검하는 목소리가 커지면 쉬어도 쉬는 것 같지 않을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</si>
  <si>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공간 하나를 정리하고 오늘 해낸 일을 적어 보면 마음이 가라앉습니다</t>
    </r>
    <r>
      <rPr>
        <sz val="10"/>
        <rFont val="맑은 고딕"/>
        <family val="0"/>
        <charset val="1"/>
      </rPr>
      <t xml:space="preserve">.</t>
    </r>
  </si>
  <si>
    <t xml:space="preserve">MOON_LIBRA</t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</si>
  <si>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편치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</si>
  <si>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혼자 삭이기보다 누군가와 나누고 대화하면서 균형을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다툼이 생기면 내 기분보다 분위기를 먼저 살피고 서둘러 화해의 말을 꺼내기도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음악이나 정돈된 공간처럼 조화로운 환경도 마음을 진정시켜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</si>
  <si>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맞는 사람과 차 한잔하거나 아름다운 것을 보며 쉬어 보세요</t>
    </r>
    <r>
      <rPr>
        <sz val="10"/>
        <rFont val="맑은 고딕"/>
        <family val="0"/>
        <charset val="1"/>
      </rPr>
      <t xml:space="preserve">.</t>
    </r>
  </si>
  <si>
    <t xml:space="preserve">MOON_SCORPIO</t>
  </si>
  <si>
    <r>
      <rPr>
        <sz val="10"/>
        <rFont val="Noto Sans CJK SC"/>
        <family val="2"/>
      </rPr>
      <t xml:space="preserve">깊이 믿을 수 있는 사람이 곁에 있을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얕게 나누기보다 깊게 연결되고 싶어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</si>
  <si>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강하게 느끼지만 쉽게 드러내지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속에서 오래 소화하는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상처받은 일은 겉으로 넘어간 것처럼 보여도 마음속에서 여러 번 곱씹기도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온전히 믿는 사람 앞에서야 비로소 속마음을 꺼내 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</si>
  <si>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 감정을 충분히 느끼고 글로 흘려보내는 것이 도움이 돼요</t>
    </r>
    <r>
      <rPr>
        <sz val="10"/>
        <rFont val="맑은 고딕"/>
        <family val="0"/>
        <charset val="1"/>
      </rPr>
      <t xml:space="preserve">.</t>
    </r>
  </si>
  <si>
    <t xml:space="preserve">MOON_SAGITTARIUS</t>
  </si>
  <si>
    <r>
      <rPr>
        <sz val="10"/>
        <rFont val="Noto Sans CJK SC"/>
        <family val="2"/>
      </rPr>
      <t xml:space="preserve">자유롭게 움직이고 새로운 것을 경험할 때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묶여 있으면 감정도 무거워집니다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</si>
  <si>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의미를 찾아 웃으며 넘기려는 낙천성이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꽉 막힌 날에는 무작정 버스를 타고 낯선 동네에 가 보는 것만으로 숨통이 트이기도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무거운 감정을 너무 빨리 넘기면 나중에 한꺼번에 밀려올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</si>
  <si>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나들이나 새로운 배움처럼 시야를 넓혀 주는 경험이 마음을 풀어 줘요</t>
    </r>
    <r>
      <rPr>
        <sz val="10"/>
        <rFont val="맑은 고딕"/>
        <family val="0"/>
        <charset val="1"/>
      </rPr>
      <t xml:space="preserve">.</t>
    </r>
  </si>
  <si>
    <t xml:space="preserve">MOON_CAPRICORN</t>
  </si>
  <si>
    <r>
      <rPr>
        <sz val="10"/>
        <rFont val="Noto Sans CJK SC"/>
        <family val="2"/>
      </rPr>
      <t xml:space="preserve">상황을 내가 감당하고 있다는 느낌이 들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해야 할 일을 먼저 챙기는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</si>
  <si>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속상해도 먼저 할 일을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나중에 혼자 다루는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힘들다는 말을 꺼내기보다 묵묵히 버티는 쪽이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안정된 계획과 예측할 수 있는 일정이 있을 때 마음도 조용히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</si>
  <si>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해낸 일을 스스로 인정해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상관없는 쉬는 시간을 미리 정해 두세요</t>
    </r>
    <r>
      <rPr>
        <sz val="10"/>
        <rFont val="맑은 고딕"/>
        <family val="0"/>
        <charset val="1"/>
      </rPr>
      <t xml:space="preserve">.</t>
    </r>
  </si>
  <si>
    <t xml:space="preserve">MOON_AQUARIUS</t>
  </si>
  <si>
    <r>
      <rPr>
        <sz val="10"/>
        <rFont val="Noto Sans CJK SC"/>
        <family val="2"/>
      </rPr>
      <t xml:space="preserve">내 공간과 생각의 자유가 지켜질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걸음 떨어져서 바라보는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</si>
  <si>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크게 일어나면 먼저 거리를 두고 차분히 이해해 보려는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너무 붙어 있기보다 각자의 시간을 존중할 때 더 편안함을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통하는 친구들과의 느슨한 연결이 든든한 안전망이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</si>
  <si>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시간을 지키면서 생각이 통하는 사람과 가볍게 연결돼 있는 것이 힘이 됩니다</t>
    </r>
    <r>
      <rPr>
        <sz val="10"/>
        <rFont val="맑은 고딕"/>
        <family val="0"/>
        <charset val="1"/>
      </rPr>
      <t xml:space="preserve">.</t>
    </r>
  </si>
  <si>
    <t xml:space="preserve">MOON_PISCES</t>
  </si>
  <si>
    <r>
      <rPr>
        <sz val="10"/>
        <rFont val="Noto Sans CJK SC"/>
        <family val="2"/>
      </rPr>
      <t xml:space="preserve">마음이 조용히 흐를 수 있는 여유가 있을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흡수하는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</si>
  <si>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기분을 내 것처럼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슬픈 영화 한 편에도 깊이 젖어 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음악을 들으며 멍하니 있거나 물가를 걷는 시간이 마음을 씻어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 많은 곳에 오래 있으면 나도 모르게 에너지가 빠져나가기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</si>
  <si>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목욕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물가 산책처럼 감각을 부드럽게 쉬게 하는 시간이 도움이 됩니다</t>
    </r>
    <r>
      <rPr>
        <sz val="10"/>
        <rFont val="맑은 고딕"/>
        <family val="0"/>
        <charset val="1"/>
      </rPr>
      <t xml:space="preserve">.</t>
    </r>
  </si>
  <si>
    <t xml:space="preserve">ASC_ARIES</t>
  </si>
  <si>
    <r>
      <rPr>
        <sz val="10"/>
        <rFont val="Noto Sans CJK SC"/>
        <family val="2"/>
      </rPr>
      <t xml:space="preserve">에너지 넘치고 시원시원한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먼저 행동으로 세상에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</si>
  <si>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먼저 말을 걸거나 분위기를 이끄는 모습이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걸음이 빠르고 표정이 솔직해서 생각이 얼굴에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환경에 금방 뛰어드는 힘이 이 상승궁의 강점입니다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</si>
  <si>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출생 시간을 알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노출되는 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첫인상 묘사가 외모 평가로 읽히지 않도록 분위기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태도 중심으로 썼습니다</t>
    </r>
    <r>
      <rPr>
        <sz val="10"/>
        <rFont val="맑은 고딕"/>
        <family val="0"/>
        <charset val="1"/>
      </rPr>
      <t xml:space="preserve">.</t>
    </r>
  </si>
  <si>
    <t xml:space="preserve">ASC_TAURUS</t>
  </si>
  <si>
    <r>
      <rPr>
        <sz val="10"/>
        <rFont val="Noto Sans CJK SC"/>
        <family val="2"/>
      </rPr>
      <t xml:space="preserve">차분하고 편안한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속도로 세상과 관계를 맺습니다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</si>
  <si>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말수가 적어 보여도 곁에 있으면 안정감을 주는 사람이라는 인상을 남깁니다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소품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향처럼 감각적인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환경에는 천천히 적응하지만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익숙해지면 그 자리를 오래 지킵니다</t>
    </r>
    <r>
      <rPr>
        <sz val="10"/>
        <rFont val="맑은 고딕"/>
        <family val="0"/>
        <charset val="1"/>
      </rPr>
      <t xml:space="preserve">.</t>
    </r>
  </si>
  <si>
    <t xml:space="preserve">ASC_GEMINI</t>
  </si>
  <si>
    <r>
      <rPr>
        <sz val="10"/>
        <rFont val="Noto Sans CJK SC"/>
        <family val="2"/>
      </rPr>
      <t xml:space="preserve">가볍고 호기심 많은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잘 통하고 새 정보에 빠르게 반응합니다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</si>
  <si>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사람과도 금방 대화의 실마리를 찾아내는 재치가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손짓이 풍부해서 경쾌하고 젊은 분위기라는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사람과 두루 어울리며 자리를 부드럽게 만드는 힘이 있습니다</t>
    </r>
    <r>
      <rPr>
        <sz val="10"/>
        <rFont val="맑은 고딕"/>
        <family val="0"/>
        <charset val="1"/>
      </rPr>
      <t xml:space="preserve">.</t>
    </r>
  </si>
  <si>
    <t xml:space="preserve">ASC_CANCER</t>
  </si>
  <si>
    <r>
      <rPr>
        <sz val="10"/>
        <rFont val="Noto Sans CJK SC"/>
        <family val="2"/>
      </rPr>
      <t xml:space="preserve">부드럽고 다정한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곳에서는 조심스럽게 살핀 뒤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</si>
  <si>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조금 수줍어 보여도 상대를 편하게 해 주는 따뜻한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혼자 있는 사람을 먼저 챙기는 세심함이 자연스럽게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안전하다고 느끼면 그때부터 웃음이 많아지고 마음을 활짝 엽니다</t>
    </r>
    <r>
      <rPr>
        <sz val="10"/>
        <rFont val="맑은 고딕"/>
        <family val="0"/>
        <charset val="1"/>
      </rPr>
      <t xml:space="preserve">.</t>
    </r>
  </si>
  <si>
    <t xml:space="preserve">ASC_LEO</t>
  </si>
  <si>
    <r>
      <rPr>
        <sz val="10"/>
        <rFont val="Noto Sans CJK SC"/>
        <family val="2"/>
      </rPr>
      <t xml:space="preserve">존재감 있고 밝은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당당하게 나를 드러내며 세상을 마주합니다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</si>
  <si>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들어서는 순간 분위기가 환해진다는 말을 듣기 쉬운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말투에 나만의 개성이 묻어나고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시선을 모으는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앞에 설 때 오히려 힘이 나는 상승궁입니다</t>
    </r>
    <r>
      <rPr>
        <sz val="10"/>
        <rFont val="맑은 고딕"/>
        <family val="0"/>
        <charset val="1"/>
      </rPr>
      <t xml:space="preserve">.</t>
    </r>
  </si>
  <si>
    <t xml:space="preserve">ASC_VIRGO</t>
  </si>
  <si>
    <r>
      <rPr>
        <sz val="10"/>
        <rFont val="Noto Sans CJK SC"/>
        <family val="2"/>
      </rPr>
      <t xml:space="preserve">단정하고 신중한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상황을 꼼꼼히 살핀 뒤 필요한 곳에 손을 보탭니다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</si>
  <si>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조용히 관찰하는 쪽이라 차분하고 성실하다는 인상을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시간을 지키고 필요한 것을 미리 챙겨 오는 작은 습관이 신뢰를 쌓아요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침착해 보여도 속으로는 세세한 것까지 살피고 있습니다</t>
    </r>
    <r>
      <rPr>
        <sz val="10"/>
        <rFont val="맑은 고딕"/>
        <family val="0"/>
        <charset val="1"/>
      </rPr>
      <t xml:space="preserve">.</t>
    </r>
  </si>
  <si>
    <t xml:space="preserve">ASC_LIBRA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</si>
  <si>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</si>
  <si>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예의 바르고 편안한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말에 고개를 끄덕이며 귀 기울이는 모습이 호감을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부딪히기보다 접점을 먼저 찾는 태도가 첫인상에 자연스럽게 묻어납니다</t>
    </r>
    <r>
      <rPr>
        <sz val="10"/>
        <rFont val="맑은 고딕"/>
        <family val="0"/>
        <charset val="1"/>
      </rPr>
      <t xml:space="preserve">.</t>
    </r>
  </si>
  <si>
    <t xml:space="preserve">ASC_SCORPIO</t>
  </si>
  <si>
    <r>
      <rPr>
        <sz val="10"/>
        <rFont val="Noto Sans CJK SC"/>
        <family val="2"/>
      </rPr>
      <t xml:space="preserve">속을 쉽게 알 수 없는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깊이 있는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충분히 살핀 뒤에야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</si>
  <si>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말수는 많지 않아도 눈빛과 분위기에서 강한 존재감이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거리를 두는 듯 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사람을 알아 가는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연 상대에게는 누구보다 깊게 곁을 내어 줍니다</t>
    </r>
    <r>
      <rPr>
        <sz val="10"/>
        <rFont val="맑은 고딕"/>
        <family val="0"/>
        <charset val="1"/>
      </rPr>
      <t xml:space="preserve">.</t>
    </r>
  </si>
  <si>
    <t xml:space="preserve">ASC_SAGITTARIUS</t>
  </si>
  <si>
    <r>
      <rPr>
        <sz val="10"/>
        <rFont val="Noto Sans CJK SC"/>
        <family val="2"/>
      </rPr>
      <t xml:space="preserve">밝고 개방적인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사람과 새로운 경험에 거리낌 없이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</si>
  <si>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솔직하고 유쾌한 말투 덕분에 처음 만난 사람도 금방 편해지는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이야기나 새로 배운 것을 신나게 나누며 대화의 폭을 넓혀 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얽매이지 않는 자유로운 태도가 첫인상의 매력입니다</t>
    </r>
    <r>
      <rPr>
        <sz val="10"/>
        <rFont val="맑은 고딕"/>
        <family val="0"/>
        <charset val="1"/>
      </rPr>
      <t xml:space="preserve">.</t>
    </r>
  </si>
  <si>
    <t xml:space="preserve">ASC_CAPRICORN</t>
  </si>
  <si>
    <r>
      <rPr>
        <sz val="10"/>
        <rFont val="Noto Sans CJK SC"/>
        <family val="2"/>
      </rPr>
      <t xml:space="preserve">믿음직하고 어른스러운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거리를 지키며 차근차근 신뢰를 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</si>
  <si>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진지하고 다가가기 어려워 보일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일을 끝까지 해내는 모습에서 신뢰를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의외의 유머와 따뜻함이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알수록 더 편해지는 사람이라는 말을 듣기 쉽습니다</t>
    </r>
    <r>
      <rPr>
        <sz val="10"/>
        <rFont val="맑은 고딕"/>
        <family val="0"/>
        <charset val="1"/>
      </rPr>
      <t xml:space="preserve">.</t>
    </r>
  </si>
  <si>
    <t xml:space="preserve">ASC_AQUARIUS</t>
  </si>
  <si>
    <r>
      <rPr>
        <sz val="10"/>
        <rFont val="Noto Sans CJK SC"/>
        <family val="2"/>
      </rPr>
      <t xml:space="preserve">독특하고 자유로운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친근하지만 자기만의 거리를 지키며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</si>
  <si>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누구와도 스스럼없이 이야기하지만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어딘가 남다른 생각을 가진 사람이라는 인상을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유행보다 내 기준을 따르는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 속에서도 나만의 색을 잃지 않는 것이 이 상승궁의 힘입니다</t>
    </r>
    <r>
      <rPr>
        <sz val="10"/>
        <rFont val="맑은 고딕"/>
        <family val="0"/>
        <charset val="1"/>
      </rPr>
      <t xml:space="preserve">.</t>
    </r>
  </si>
  <si>
    <t xml:space="preserve">ASC_PISCES</t>
  </si>
  <si>
    <r>
      <rPr>
        <sz val="10"/>
        <rFont val="Noto Sans CJK SC"/>
        <family val="2"/>
      </rPr>
      <t xml:space="preserve">부드럽고 몽환적인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분위기에 섬세하게 결을 맞추며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</si>
  <si>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사람도 편하게 속 이야기를 꺼내게 만드는 포근한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표정이 부드럽고 상대의 기분에 따라 자연스럽게 말투를 맞춰요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사람이 많은 자리에서는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틈이 필요합니다</t>
    </r>
    <r>
      <rPr>
        <sz val="10"/>
        <rFont val="맑은 고딕"/>
        <family val="0"/>
        <charset val="1"/>
      </rPr>
      <t xml:space="preserve">.</t>
    </r>
  </si>
  <si>
    <t xml:space="preserve">캐릭터</t>
  </si>
  <si>
    <t xml:space="preserve">역량</t>
  </si>
  <si>
    <t xml:space="preserve">방식</t>
  </si>
  <si>
    <t xml:space="preserve">대응 행성</t>
  </si>
  <si>
    <t xml:space="preserve">이미지 파일</t>
  </si>
  <si>
    <r>
      <rPr>
        <b val="true"/>
        <sz val="10"/>
        <color rgb="FFFDF6E9"/>
        <rFont val="Noto Sans CJK SC"/>
        <family val="2"/>
      </rPr>
      <t xml:space="preserve">유형 한 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화면용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</si>
  <si>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캐릭터 소개</t>
  </si>
  <si>
    <t xml:space="preserve">차트 근거</t>
  </si>
  <si>
    <t xml:space="preserve">강점</t>
  </si>
  <si>
    <t xml:space="preserve">에너지가 많이 드는 순간</t>
  </si>
  <si>
    <t xml:space="preserve">작은 돌봄</t>
  </si>
  <si>
    <t xml:space="preserve">공유 카드 한 줄</t>
  </si>
  <si>
    <t xml:space="preserve">CHAR_01_OTTER</t>
  </si>
  <si>
    <t xml:space="preserve">수달</t>
  </si>
  <si>
    <t xml:space="preserve">기대기</t>
  </si>
  <si>
    <t xml:space="preserve">다가가기</t>
  </si>
  <si>
    <t xml:space="preserve">character-01-otter.png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</si>
  <si>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</si>
  <si>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수달은 마음이 허전할 때 먼저 물에 뛰어들어 친구에게 장난을 거는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함께 헤엄치며 온기를 나누는 쪽을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</si>
  <si>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맡는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연락하고 움직이는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</si>
  <si>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어색함을 먼저 깨고 다가가 주변을 금세 따뜻하게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</si>
  <si>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건넨 연락에 답이 늦으면 혼자 마음이 바빠지는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</si>
  <si>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연락을 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</si>
  <si>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다가가는 용기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그게 수달의 온기예요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</si>
  <si>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샘플 리포트 수달 문단과 </t>
    </r>
    <r>
      <rPr>
        <sz val="10"/>
        <rFont val="맑은 고딕"/>
        <family val="0"/>
        <charset val="1"/>
      </rPr>
      <t xml:space="preserve">why_text </t>
    </r>
    <r>
      <rPr>
        <sz val="10"/>
        <rFont val="Noto Sans CJK SC"/>
        <family val="2"/>
      </rPr>
      <t xml:space="preserve">동일 — 의도된 기준 문장</t>
    </r>
    <r>
      <rPr>
        <sz val="10"/>
        <rFont val="맑은 고딕"/>
        <family val="0"/>
        <charset val="1"/>
      </rPr>
      <t xml:space="preserve">)</t>
    </r>
  </si>
  <si>
    <t xml:space="preserve">CHAR_02_SEA_OTTER</t>
  </si>
  <si>
    <t xml:space="preserve">해달</t>
  </si>
  <si>
    <t xml:space="preserve">맞춰주기</t>
  </si>
  <si>
    <t xml:space="preserve">character-02-sea-otter.png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</si>
  <si>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</si>
  <si>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해달은 잠들 때 서로 손을 잡아 떠내려가지 않게 하는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이의 물결에 몸을 맞추며 조용히 기대는 법을 알아요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</si>
  <si>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 마음보다 상대의 기분을 먼저 살피며 곁을 지키는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</si>
  <si>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않아도 상대의 기분을 알아채고 편안한 곁이 되어 주는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</si>
  <si>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날에도 상대 기분부터 맞추느라 내 이야기를 꺼내지 못하는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</si>
  <si>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오늘은 상대 기분 말고 내 기분을 한 단어로 먼저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</si>
  <si>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손잡고 떠 있는 해달처럼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 있어 줘서 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</si>
  <si>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손잡고 자는 장면이 관계성판 해달 설명과 겹치는지</t>
    </r>
    <r>
      <rPr>
        <sz val="10"/>
        <rFont val="맑은 고딕"/>
        <family val="0"/>
        <charset val="1"/>
      </rPr>
      <t xml:space="preserve">)</t>
    </r>
  </si>
  <si>
    <t xml:space="preserve">CHAR_03_SEAL</t>
  </si>
  <si>
    <t xml:space="preserve">물범</t>
  </si>
  <si>
    <t xml:space="preserve">거리두기</t>
  </si>
  <si>
    <t xml:space="preserve">character-03-seal.png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</si>
  <si>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</si>
  <si>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물범은 무리 가까이 있으면서도 바위 위에 저만의 자리를 두고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날엔 물속에 잠겼다가 조용히 고개만 내밀어 바깥을 살핍니다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</si>
  <si>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별인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마음을 기대는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기대기보다 혼자 생각을 정리할 시간을 먼저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</si>
  <si>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차오를 때도 한발 떨어져 차분하게 상황을 바라보는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</si>
  <si>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위로받고 싶으면서도 괜찮다고 말하고 혼자 바위로 올라가는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</si>
  <si>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정리한 뒤에는 믿는 한 사람에게 그 결론만이라도 짧게 나눠 보세요</t>
    </r>
    <r>
      <rPr>
        <sz val="10"/>
        <rFont val="맑은 고딕"/>
        <family val="0"/>
        <charset val="1"/>
      </rPr>
      <t xml:space="preserve">.</t>
    </r>
  </si>
  <si>
    <t xml:space="preserve">혼자 쉬다가도 고개 내밀어 줘서 반가워요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</si>
  <si>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물개 일러스트와 설명이 서로 구분되는지</t>
    </r>
    <r>
      <rPr>
        <sz val="10"/>
        <rFont val="맑은 고딕"/>
        <family val="0"/>
        <charset val="1"/>
      </rPr>
      <t xml:space="preserve">)</t>
    </r>
  </si>
  <si>
    <t xml:space="preserve">CHAR_04_BEAVER</t>
  </si>
  <si>
    <t xml:space="preserve">비버</t>
  </si>
  <si>
    <t xml:space="preserve">조율하기</t>
  </si>
  <si>
    <t xml:space="preserve">character-04-beaver.png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</si>
  <si>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</si>
  <si>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비버는 기대고 싶은 마음이 들면 말보다 먼저 함께 머물 집을 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나뭇가지를 하나씩 쌓듯 기댈 수 있는 자리를 차근차근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</si>
  <si>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감정을 털어놓기보다 함께할 일과 일정을 현실적으로 맞춰 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</si>
  <si>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하지 않고 실제로 기댈 수 있는 생활의 터전을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</si>
  <si>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마음은 뒤로하고 할 일 목록만 정리하다 혼자 지치는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</si>
  <si>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 맨 위에 오늘 기분 나누기를 한 줄 넣어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</si>
  <si>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쉴 보금자리를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</si>
  <si>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</t>
    </r>
  </si>
  <si>
    <t xml:space="preserve">CHAR_05_MANDARIN_DUCK</t>
  </si>
  <si>
    <t xml:space="preserve">원앙</t>
  </si>
  <si>
    <t xml:space="preserve">믿기</t>
  </si>
  <si>
    <t xml:space="preserve">character-05-mandarin-duck.png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</si>
  <si>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</si>
  <si>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원앙은 마음이 불안할 때 먼저 다가가 나란히 헤엄치며 곁을 확인하는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시간이 쌓일수록 물결 위의 마음도 고요해집니다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</si>
  <si>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구조를 맡는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혼자 걱정하기보다 먼저 묻고 표현해 확인하는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</si>
  <si>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아끼는 마음을 숨기지 않고 표현해 관계에 온기를 불어넣는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</si>
  <si>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확인의 말을 들은 뒤에도 마음이 놓이지 않아 다시 묻고 싶어지는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</si>
  <si>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묻고 싶은 마음이 들면 그동안 함께 쌓아 온 장면 세 가지를 떠올려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</si>
  <si>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나란히 헤엄치는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원앙에게는 보물이에요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</si>
  <si>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원앙의 금슬 이미지는 문화적 상징 — 실제 생태 사실처럼 쓰지 않았음</t>
    </r>
    <r>
      <rPr>
        <sz val="10"/>
        <rFont val="맑은 고딕"/>
        <family val="0"/>
        <charset val="1"/>
      </rPr>
      <t xml:space="preserve">)</t>
    </r>
  </si>
  <si>
    <t xml:space="preserve">CHAR_06_PENGUIN</t>
  </si>
  <si>
    <t xml:space="preserve">펭귄</t>
  </si>
  <si>
    <t xml:space="preserve">character-06-penguin.png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</si>
  <si>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</si>
  <si>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나란히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</si>
  <si>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시간과 책임을 맡는 토성이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관계가 단단하다고 믿는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상대에게 맞춰 무리의 온기를 지키려는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</si>
  <si>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이들의 마음을 살펴 모두가 따뜻할 수 있도록 자리를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</si>
  <si>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관계가 흔들릴까 봐 서운한 마음까지 꾹 참고 맞춰 주는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</si>
  <si>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하나쯤은 내가 원하는 것을 먼저 말하고 관계가 어떤지 지켜봐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</si>
  <si>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곁을 내어 주는 펭귄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따뜻해요</t>
    </r>
  </si>
  <si>
    <t xml:space="preserve">CHAR_07_HERON</t>
  </si>
  <si>
    <t xml:space="preserve">왜가리</t>
  </si>
  <si>
    <t xml:space="preserve">character-07-heron.png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</si>
  <si>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</si>
  <si>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왜가리는 얕은 물가에 오래 서서 물결을 지켜본 뒤에야 한 걸음 내딛는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멀리서 바라보며 믿어도 될지 스스로 가늠합니다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</si>
  <si>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시험의 별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맡기는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가까이 붙기보다 한발 떨어져 생각으로 상황을 살피는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</si>
  <si>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사람과 상황을 차분하게 지켜보는 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</si>
  <si>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마음을 반기면서도 정말 믿어도 될지 혼자 오래 따져 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</si>
  <si>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지켜본 것 가운데 이미 믿을 만했던 순간을 하나 골라 고맙다고 전해 보세요</t>
    </r>
    <r>
      <rPr>
        <sz val="10"/>
        <rFont val="맑은 고딕"/>
        <family val="0"/>
        <charset val="1"/>
      </rPr>
      <t xml:space="preserve">.</t>
    </r>
  </si>
  <si>
    <t xml:space="preserve">오래 지켜본 만큼 깊이 믿는 왜가리예요</t>
  </si>
  <si>
    <t xml:space="preserve">CHAR_08_SWAN</t>
  </si>
  <si>
    <t xml:space="preserve">백조</t>
  </si>
  <si>
    <t xml:space="preserve">character-08-swan.png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</si>
  <si>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</si>
  <si>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백조는 물 위에서는 우아하게 떠 있지만 물 아래에서는 쉬지 않고 발을 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고요해 보여도 관계가 흔들리지 않도록 속에서 차근차근 균형을 잡아요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</si>
  <si>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구조와 약속을 맡는 토성이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약속과 생활의 틀을 현실적으로 맞춰 가며 안심을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</si>
  <si>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약속을 지키고 일상을 꾸준히 이어 가며 믿을 만한 관계를 쌓는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</si>
  <si>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겉으로는 평온한 척하며 물 아래에서 혼자 계획을 다시 짜는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</si>
  <si>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 아래에서 젓던 발을 잠시 멈추고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불안한 점 하나를 말로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</si>
  <si>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고요한 물 위의 백조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늘 애쓰고 있어요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</si>
  <si>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드문 캐릭터 — 설명 분량 다른 행과 균형 확인</t>
    </r>
    <r>
      <rPr>
        <sz val="10"/>
        <rFont val="맑은 고딕"/>
        <family val="0"/>
        <charset val="1"/>
      </rPr>
      <t xml:space="preserve">)</t>
    </r>
  </si>
  <si>
    <t xml:space="preserve">CHAR_09_PUFFERFISH</t>
  </si>
  <si>
    <t xml:space="preserve">복어</t>
  </si>
  <si>
    <t xml:space="preserve">선 지키기</t>
  </si>
  <si>
    <t xml:space="preserve">character-09-pufferfish.png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</si>
  <si>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</si>
  <si>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복어는 누가 내 선을 넘어온다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</si>
  <si>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세우고 지키는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참고 넘기기보다 바로 표현해 선을 그으려는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</si>
  <si>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것을 오래 묵히지 않고 솔직하게 알려 관계를 투명하게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</si>
  <si>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마음보다 몸이 먼저 부풀어 올라 말이 생각보다 세게 나가는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</si>
  <si>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부풀어 오를 때 숨을 길게 내쉬고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것 하나만 골라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</si>
  <si>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솔직하게 부풀 줄 아는 복어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용기 멋져요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</si>
  <si>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복어의 독 이미지는 일부러 쓰지 않았음</t>
    </r>
    <r>
      <rPr>
        <sz val="10"/>
        <rFont val="맑은 고딕"/>
        <family val="0"/>
        <charset val="1"/>
      </rPr>
      <t xml:space="preserve">)</t>
    </r>
  </si>
  <si>
    <t xml:space="preserve">CHAR_10_HERMIT_CRAB</t>
  </si>
  <si>
    <t xml:space="preserve">소라게</t>
  </si>
  <si>
    <t xml:space="preserve">character-10-hermit-crab.png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</si>
  <si>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</si>
  <si>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소라게는 주변 친구들과 차례를 맞춰 껍데기를 바꿔 입는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편하도록 자리를 내주다 보면 정작 내게 맞는 집을 놓치기도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</si>
  <si>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힘을 맡는 화성이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여기까지라고 선을 긋는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거절하기보다 상대 기분에 맞춰 내 자리를 조금씩 내어 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</si>
  <si>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사정을 헤아려 부드럽게 양보하며 관계의 평화를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</si>
  <si>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말이 목까지 왔는데 상대 표정을 보고 다시 삼키는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</si>
  <si>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주에는 작은 부탁 하나쯤 ‘이번엔 어려워요’라고 다정하게 거절해 보세요</t>
    </r>
    <r>
      <rPr>
        <sz val="10"/>
        <rFont val="맑은 고딕"/>
        <family val="0"/>
        <charset val="1"/>
      </rPr>
      <t xml:space="preserve">.</t>
    </r>
  </si>
  <si>
    <t xml:space="preserve">내게 꼭 맞는 껍데기도 챙기는 소라게가 되길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</si>
  <si>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흔한 캐릭터 — 공유 문구 반응 확인</t>
    </r>
    <r>
      <rPr>
        <sz val="10"/>
        <rFont val="맑은 고딕"/>
        <family val="0"/>
        <charset val="1"/>
      </rPr>
      <t xml:space="preserve">)</t>
    </r>
  </si>
  <si>
    <t xml:space="preserve">CHAR_11_TURTLE</t>
  </si>
  <si>
    <t xml:space="preserve">거북</t>
  </si>
  <si>
    <t xml:space="preserve">character-11-turtle.png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</si>
  <si>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</si>
  <si>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거북은 마음이 침범당한다고 느끼면 조용히 등딱지 안으로 들어가 숨을 고르는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충분히 쉰 뒤에야 다시 고개를 내밀고 천천히 길을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</si>
  <si>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행동과 자기주장을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말로 세우는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맞서기보다 잠시 물러나 혼자 생각을 정리하는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</si>
  <si>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부딪힐 때도 감정적으로 맞서지 않고 차분하게 나를 지키는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</si>
  <si>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등딱지 안에서 혼자 오래 머무는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</si>
  <si>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등딱지 안에 들어갈 때 조금 쉬고 다시 이야기하겠다고 한마디 남겨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</si>
  <si>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쉬었다 다시 걷는 거북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속도도 괜찮아요</t>
    </r>
  </si>
  <si>
    <t xml:space="preserve">CHAR_12_CLAM</t>
  </si>
  <si>
    <t xml:space="preserve">조개</t>
  </si>
  <si>
    <t xml:space="preserve">character-12-clam.png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</si>
  <si>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</si>
  <si>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조개는 물이 맑을 때만 껍데기를 살짝 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흐려지면 단단히 닫는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얼마나 열지 상황을 보며 하나하나 가늠하는 신중한 문지기예요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</si>
  <si>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추진력의 별 화성이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경계를 세우고 지키는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감정보다 조건과 사정을 따져 어디까지 열지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</si>
  <si>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받아들이고 무엇을 거를지 현실적으로 가려내는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</si>
  <si>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열어야 할지 닫아야 할지 계산하느라 내 마음을 들여다볼 틈이 없는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</si>
  <si>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따져 보기 전에 지금 내 마음이 열고 싶은지부터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</si>
  <si>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열리는 조개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안은 참 부드러워요</t>
    </r>
  </si>
  <si>
    <t xml:space="preserve">CHAR_13_FUR_SEAL</t>
  </si>
  <si>
    <t xml:space="preserve">물개</t>
  </si>
  <si>
    <t xml:space="preserve">말하기</t>
  </si>
  <si>
    <t xml:space="preserve">character-13-fur-seal.png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</si>
  <si>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</si>
  <si>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물개는 하고 싶은 말이 생기면 바위 위로 올라와 큰 소리로 먼저 불러 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시끌벅적한 무리 속에서도 제 목소리를 내며 대화를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</si>
  <si>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</si>
  <si>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침묵을 먼저 깨고 솔직한 말로 대화의 물꼬를 트는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</si>
  <si>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마음에 말이 먼저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돌아서서 그 말을 다시 곱씹는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</si>
  <si>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말을 꺼내기 전에 가장 전하고 싶은 한 문장을 먼저 골라 보세요</t>
    </r>
    <r>
      <rPr>
        <sz val="10"/>
        <rFont val="맑은 고딕"/>
        <family val="0"/>
        <charset val="1"/>
      </rPr>
      <t xml:space="preserve">.</t>
    </r>
  </si>
  <si>
    <t xml:space="preserve">먼저 말 걸어 주는 물개 덕분에 웃어요</t>
  </si>
  <si>
    <t xml:space="preserve">CHAR_14_DOLPHIN</t>
  </si>
  <si>
    <t xml:space="preserve">돌고래</t>
  </si>
  <si>
    <t xml:space="preserve">character-14-dolphin.png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</si>
  <si>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</si>
  <si>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</si>
  <si>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수성이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생각을 그대로 표현하는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말보다 상대가 듣고 싶은 말을 먼저 고르는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</si>
  <si>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읽고 그 사람에게 닿는 말투를 찾아내는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</si>
  <si>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맞추느라 정작 내 진짜 생각은 꺼내지 못한 채 대화가 끝나는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</si>
  <si>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맞장구를 친 다음에 나는 이렇게 느꼈다는 한 문장을 덧붙여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</si>
  <si>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박자를 맞추는 돌고래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노래도 궁금해요</t>
    </r>
  </si>
  <si>
    <t xml:space="preserve">CHAR_15_HUMPBACK_WHALE</t>
  </si>
  <si>
    <t xml:space="preserve">혹등고래</t>
  </si>
  <si>
    <t xml:space="preserve">character-15-humpback-whale.png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</si>
  <si>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</si>
  <si>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</si>
  <si>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생각의 별인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꺼내는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말하기보다 혼자 생각을 충분히 정리할 시간을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</si>
  <si>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충분히 생각한 뒤 꺼내는 말이라 깊이 있고 오래 남는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</si>
  <si>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다듬는 사이 대화의 때가 지나가 혼자 말을 품고 있는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</si>
  <si>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됐어도 지금 생각 중이니 조금 있다 말하겠다고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</si>
  <si>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부르는 혹등고래의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멀리까지 닿아요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</si>
  <si>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혹등고래 노래는 주로 수컷 행동 — 성별 중립 표현으로 썼음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히든 유형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바다의 노인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이미지가 겹치지 않는지 확인</t>
    </r>
    <r>
      <rPr>
        <sz val="10"/>
        <rFont val="맑은 고딕"/>
        <family val="0"/>
        <charset val="1"/>
      </rPr>
      <t xml:space="preserve">)</t>
    </r>
  </si>
  <si>
    <t xml:space="preserve">CHAR_16_FROG</t>
  </si>
  <si>
    <t xml:space="preserve">개구리</t>
  </si>
  <si>
    <t xml:space="preserve">character-16-frog.png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</si>
  <si>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</si>
  <si>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개구리는 비가 내리고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</si>
  <si>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표현을 맡는 수성이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하고 싶은 말을 꺼내는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감정대로 말하기보다 때와 방법을 따져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</si>
  <si>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때와 자리를 잘 가려 오해 없이 필요한 이야기를 전하는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</si>
  <si>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기다리다 결국 말할 기회를 자꾸 미뤄 두는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</si>
  <si>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완벽한 때를 기다리기보다 이번 주 안에 말할 날을 하나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</si>
  <si>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때를 아는 개구리의 한마디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</si>
  <si>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t xml:space="preserve">CHAR_17_OCTOPUS</t>
  </si>
  <si>
    <t xml:space="preserve">문어</t>
  </si>
  <si>
    <t xml:space="preserve">회복하기</t>
  </si>
  <si>
    <t xml:space="preserve">character-17-octopus.png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</si>
  <si>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</si>
  <si>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문어는 사이가 어긋나면 여덟 개의 팔을 뻗어 먼저 풀어 보려는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색을 바꿔 가며 지금 마음을 숨김없이 드러내기도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</si>
  <si>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관계를 다시 잇는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손을 뻗어 화해를 청하는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</si>
  <si>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어색해진 사이에 먼저 손을 내밀어 다시 웃게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</si>
  <si>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아직 마음을 추스르는 중인데 빨리 풀고 싶어 여러 팔을 한꺼번에 뻗는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</si>
  <si>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뒤에는 상대가 답할 시간을 하루쯤 기다려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</si>
  <si>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손 내미는 문어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 잘 받았어요</t>
    </r>
  </si>
  <si>
    <t xml:space="preserve">CHAR_18_JELLYFISH</t>
  </si>
  <si>
    <t xml:space="preserve">해파리</t>
  </si>
  <si>
    <t xml:space="preserve">character-18-jellyfish.png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</si>
  <si>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</si>
  <si>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해파리는 물살이 거세지면 맞서지 않고 흐름에 몸을 맡겨 함께 흔들리는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투명한 몸처럼 상대의 기분을 그대로 비추며 분위기를 부드럽게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</si>
  <si>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어긋난 관계를 다시 따뜻하게 잇는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입장보다 상대의 감정에 맞춰 분위기를 먼저 풀려는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</si>
  <si>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공기를 부드럽게 풀어 다시 함께 머물 수 있게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</si>
  <si>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내 서운함은 말하지 않고 흘려보내는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</si>
  <si>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분위기가 풀린 뒤에 서운했던 점 하나를 조용히 다시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</si>
  <si>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흐름을 부드럽게 만드는 해파리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</si>
  <si>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흐름에 몸을 맡긴다는 이미지가 수동적으로만 읽히지 않는지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해파리 쏘임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</si>
  <si>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CHAR_19_STINGRAY</t>
  </si>
  <si>
    <t xml:space="preserve">가오리</t>
  </si>
  <si>
    <t xml:space="preserve">character-19-stingray.png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</si>
  <si>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</si>
  <si>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가오리는 물결이 거칠어지면 모래 속에 몸을 묻고 잠잠해질 때까지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넓은 날개를 펴고 부드럽게 다시 떠오릅니다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</si>
  <si>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조화와 관계를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다시 가까워지는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풀기보다 혼자 감정을 가라앉힐 시간을 먼저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</si>
  <si>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가라앉은 뒤 차분한 말로 다시 대화를 여는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</si>
  <si>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모래 속에서 쉬는 시간이 길어져 상대가 기다리다 지쳐 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</si>
  <si>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고르러 갈 때 언제쯤 다시 이야기할지 미리 약속해 두세요</t>
    </r>
    <r>
      <rPr>
        <sz val="10"/>
        <rFont val="맑은 고딕"/>
        <family val="0"/>
        <charset val="1"/>
      </rPr>
      <t xml:space="preserve">.</t>
    </r>
  </si>
  <si>
    <t xml:space="preserve">쉬었다 다시 떠오르는 가오리를 기다릴게요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</si>
  <si>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가오리 꼬리 가시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</si>
  <si>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CHAR_20_STARFISH</t>
  </si>
  <si>
    <t xml:space="preserve">불가사리</t>
  </si>
  <si>
    <t xml:space="preserve">character-20-starfish.png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</si>
  <si>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</si>
  <si>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어긋났던 자리로 다시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</si>
  <si>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다툰 뒤 관계를 회복하는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무엇이 어긋났는지 현실적으로 따져 하나씩 맞춰 가는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</si>
  <si>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다툼의 원인을 차근차근 짚어 같은 일이 덜 반복되도록 다듬는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</si>
  <si>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마음을 알아주길 바라는데 해결책부터 정리하고 있는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</si>
  <si>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해결책을 꺼내기 전에 그때 많이 속상했겠다는 한마디를 먼저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</si>
  <si>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다시 자라는 불가사리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끈기를 응원해요</t>
    </r>
  </si>
  <si>
    <r>
      <rPr>
        <b val="true"/>
        <sz val="10"/>
        <color rgb="FFFDF6E9"/>
        <rFont val="Noto Sans CJK SC"/>
        <family val="2"/>
      </rPr>
      <t xml:space="preserve">구분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역량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방식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</si>
  <si>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대응 행성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원소</t>
    </r>
  </si>
  <si>
    <t xml:space="preserve">쉬운 정의</t>
  </si>
  <si>
    <t xml:space="preserve">점성술 연결 설명</t>
  </si>
  <si>
    <r>
      <rPr>
        <b val="true"/>
        <sz val="10"/>
        <color rgb="FFFDF6E9"/>
        <rFont val="Noto Sans CJK SC"/>
        <family val="2"/>
      </rPr>
      <t xml:space="preserve">흔들릴 때 </t>
    </r>
    <r>
      <rPr>
        <b val="true"/>
        <sz val="10"/>
        <color rgb="FFFDF6E9"/>
        <rFont val="맑은 고딕"/>
        <family val="0"/>
        <charset val="1"/>
      </rPr>
      <t xml:space="preserve">/ </t>
    </r>
    <r>
      <rPr>
        <b val="true"/>
        <sz val="10"/>
        <color rgb="FFFDF6E9"/>
        <rFont val="Noto Sans CJK SC"/>
        <family val="2"/>
      </rPr>
      <t xml:space="preserve">방식의 힘과 지나칠 때</t>
    </r>
  </si>
  <si>
    <t xml:space="preserve">COMP_LEAN</t>
  </si>
  <si>
    <r>
      <rPr>
        <sz val="10"/>
        <rFont val="Noto Sans CJK SC"/>
        <family val="2"/>
      </rPr>
      <t xml:space="preserve">기대기는 가까운 사람에게 마음을 기대고 위로를 주고받는 친밀감의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</si>
  <si>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차트에서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달이 긴장하는 각도를 많이 받으면 편히 기대고 싶은 마음과 혼자 버티려는 마음이 자주 부딪힙니다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달은 누군가에게 기대는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</si>
  <si>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괜찮은 척 넘기거나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반대로 연락 하나에 마음이 크게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기대고 싶은 마음과 짐이 될까 하는 걱정이 함께 올라오는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</si>
  <si>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관계성 테스트 초기 기획에는 친밀감 역량 이름이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적힌 기록이 있음 — 방식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겹치지 않도록 최종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</si>
  <si>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COMP_TRUST</t>
  </si>
  <si>
    <r>
      <rPr>
        <sz val="10"/>
        <rFont val="Noto Sans CJK SC"/>
        <family val="2"/>
      </rPr>
      <t xml:space="preserve">믿기는 관계가 쉽게 흔들리지 않으리라 여기고 마음을 놓는 안정감의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</si>
  <si>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견디는 힘을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긴장하는 각도를 많이 받으면 관계에서도 이 사이가 단단한지 자꾸 점검하고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토성은 시간을 두고 쌓이는 믿음을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</si>
  <si>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답장이 늦거나 말투가 조금만 달라져도 관계 전체가 흔들리는 듯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받아도 마음이 오래 놓이지 않아 스스로 지치기도 해요</t>
    </r>
    <r>
      <rPr>
        <sz val="10"/>
        <rFont val="맑은 고딕"/>
        <family val="0"/>
        <charset val="1"/>
      </rPr>
      <t xml:space="preserve">.</t>
    </r>
  </si>
  <si>
    <t xml:space="preserve">COMP_BOUNDARY</t>
  </si>
  <si>
    <r>
      <rPr>
        <sz val="10"/>
        <rFont val="Noto Sans CJK SC"/>
        <family val="2"/>
      </rPr>
      <t xml:space="preserve">선 지키기는 내가 편한 범위와 원하지 않는 것을 알고 지켜 내는 경계의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</si>
  <si>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지키려는 추진력을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화성이 긴장하는 각도를 많이 받으면 싫다는 마음을 언제 어떻게 꺼낼지 고르는 데 힘이 많이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화성은 나의 선을 세우고 지키는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</si>
  <si>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한꺼번에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</si>
  <si>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경계 연결은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자기주장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나를 지키는 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상징으로 풀었음 — 공격성으로 읽히지 않는지 확인</t>
    </r>
  </si>
  <si>
    <t xml:space="preserve">COMP_SPEAK</t>
  </si>
  <si>
    <r>
      <rPr>
        <sz val="10"/>
        <rFont val="Noto Sans CJK SC"/>
        <family val="2"/>
      </rPr>
      <t xml:space="preserve">말하기는 내 생각과 마음을 상대가 알아들을 수 있는 말로 꺼내는 표현의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</si>
  <si>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수성이 긴장하는 각도를 많이 받으면 머릿속 생각은 많은데 입 밖으로 꺼내는 순간에 힘이 많이 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수성은 마음을 말로 옮기는 힘을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</si>
  <si>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여러 번 고쳐 쓰다 결국 보내지 못하거나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말해 놓고 오래 곱씹기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전해질까 봐 꼭 필요한 말까지 삼키기도 해요</t>
    </r>
    <r>
      <rPr>
        <sz val="10"/>
        <rFont val="맑은 고딕"/>
        <family val="0"/>
        <charset val="1"/>
      </rPr>
      <t xml:space="preserve">.</t>
    </r>
  </si>
  <si>
    <t xml:space="preserve">COMP_REPAIR</t>
  </si>
  <si>
    <r>
      <rPr>
        <sz val="10"/>
        <rFont val="Noto Sans CJK SC"/>
        <family val="2"/>
      </rPr>
      <t xml:space="preserve">회복하기는 다툼이나 서운함이 생긴 뒤 관계를 다시 따뜻하게 잇는 갈등 회복의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</si>
  <si>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금성이 긴장하는 각도를 많이 받으면 어긋난 사이를 다시 부드럽게 맞추는 데 마음이 많이 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금성은 틈이 생긴 관계를 다시 잇는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</si>
  <si>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말다툼 뒤에도 분위기가 풀리지 않을까 봐 오래 마음이 무거워지기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사과할지 기다릴지 고민하다 화해의 때를 놓치기도 합니다</t>
    </r>
    <r>
      <rPr>
        <sz val="10"/>
        <rFont val="맑은 고딕"/>
        <family val="0"/>
        <charset val="1"/>
      </rPr>
      <t xml:space="preserve">.</t>
    </r>
  </si>
  <si>
    <t xml:space="preserve">STYLE_APPROACH</t>
  </si>
  <si>
    <r>
      <rPr>
        <sz val="10"/>
        <rFont val="Noto Sans CJK SC"/>
        <family val="2"/>
      </rPr>
      <t xml:space="preserve">다가가기는 마음이 흔들릴 때 기다리기보다 먼저 연락하고 움직여 거리를 좁히는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</si>
  <si>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불의 원소는 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사자자리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사수자리의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열정과 시작하는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불이 강한 차트는 마음이 움직이면 몸도 먼저 움직이려는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먼저 다가가는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</si>
  <si>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공기를 오래 두지 않고 먼저 손을 내밀어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관계가 식지 않게 지켜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상대가 준비되기 전에 답을 재촉하게 되어 내 마음이 더 급해질 수 있습니다</t>
    </r>
    <r>
      <rPr>
        <sz val="10"/>
        <rFont val="맑은 고딕"/>
        <family val="0"/>
        <charset val="1"/>
      </rPr>
      <t xml:space="preserve">.</t>
    </r>
  </si>
  <si>
    <t xml:space="preserve">STYLE_ATTUNE</t>
  </si>
  <si>
    <r>
      <rPr>
        <sz val="10"/>
        <rFont val="Noto Sans CJK SC"/>
        <family val="2"/>
      </rPr>
      <t xml:space="preserve">맞춰주기는 마음이 흔들릴 때 상대의 기분과 분위기에 나를 맞춰 관계의 평화를 지키는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</si>
  <si>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살피는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</si>
  <si>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알아채고 품어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부딪힘 없이 곁을 지켜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내 기분을 자꾸 뒤로 미뤄 두다 나도 모르게 서운함이 쌓일 수 있어요</t>
    </r>
    <r>
      <rPr>
        <sz val="10"/>
        <rFont val="맑은 고딕"/>
        <family val="0"/>
        <charset val="1"/>
      </rPr>
      <t xml:space="preserve">.</t>
    </r>
  </si>
  <si>
    <t xml:space="preserve">STYLE_DISTANCE</t>
  </si>
  <si>
    <r>
      <rPr>
        <sz val="10"/>
        <rFont val="Noto Sans CJK SC"/>
        <family val="2"/>
      </rPr>
      <t xml:space="preserve">거리두기는 마음이 흔들릴 때 잠시 한 걸음 물러나 혼자 생각을 정리할 시간을 갖는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</si>
  <si>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공기의 원소는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천칭자리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물병자리의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한발 떨어져 바라보는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공기가 강한 차트는 감정이 차오를 때 머리로 먼저 정리하려는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거리를 두고 숨을 고르는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</si>
  <si>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앞설 때 한발 물러나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후회할 말 대신 차분한 생각을 고르게 해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상대에게 닫힌 문처럼 느껴져 마음의 거리가 벌어질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</si>
  <si>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회피 성향 꼬리표처럼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정리할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 — 관계성 테스트 방식 정의 문구와 대조 필요</t>
    </r>
  </si>
  <si>
    <t xml:space="preserve">STYLE_COORDINATE</t>
  </si>
  <si>
    <r>
      <rPr>
        <sz val="10"/>
        <rFont val="Noto Sans CJK SC"/>
        <family val="2"/>
      </rPr>
      <t xml:space="preserve">조율하기는 마음이 흔들릴 때 무엇이 가능한지 현실적으로 따져 보고 조정점을 찾는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</si>
  <si>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흙의 원소는 황소자리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흙이 강한 차트는 마음보다 눈앞의 해결책을 먼저 찾으려는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차근차근 따지고 맞춰 가는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</si>
  <si>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해결책부터 내밀어 상대가 서운해할 수 있어요</t>
    </r>
    <r>
      <rPr>
        <sz val="10"/>
        <rFont val="맑은 고딕"/>
        <family val="0"/>
        <charset val="1"/>
      </rPr>
      <t xml:space="preserve">.</t>
    </r>
  </si>
  <si>
    <t xml:space="preserve">상태</t>
  </si>
  <si>
    <t xml:space="preserve">캐릭터 방식 연결</t>
  </si>
  <si>
    <t xml:space="preserve">ELEM_FIRE_STRONG</t>
  </si>
  <si>
    <t xml:space="preserve">강할 때</t>
  </si>
  <si>
    <r>
      <rPr>
        <sz val="10"/>
        <rFont val="Noto Sans CJK SC"/>
        <family val="2"/>
      </rPr>
      <t xml:space="preserve">불의 기운이 강하면 마음먹은 순간 바로 움직이는 추진력과 열정이 돋보입니다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시작 앞에서 설레고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에너지가 주변 사람까지 움직이게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불이 셀수록 쉬는 타이밍을 의식적으로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</si>
  <si>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먼저 움직여 다가가는 ‘다가가기’ 방식을 쓰기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</si>
  <si>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때의 점수 경계는 엔진에서 정합니다</t>
    </r>
    <r>
      <rPr>
        <sz val="10"/>
        <rFont val="맑은 고딕"/>
        <family val="0"/>
        <charset val="1"/>
      </rPr>
      <t xml:space="preserve">. style_link</t>
    </r>
    <r>
      <rPr>
        <sz val="10"/>
        <rFont val="Noto Sans CJK SC"/>
        <family val="2"/>
      </rPr>
      <t xml:space="preserve">는 그 원소가 차트에서 가장 강할 때만 노출된다는 전제로 썼습니다</t>
    </r>
    <r>
      <rPr>
        <sz val="10"/>
        <rFont val="맑은 고딕"/>
        <family val="0"/>
        <charset val="1"/>
      </rPr>
      <t xml:space="preserve">.</t>
    </r>
  </si>
  <si>
    <t xml:space="preserve">ELEM_FIRE_WEAK</t>
  </si>
  <si>
    <t xml:space="preserve">부족할 때</t>
  </si>
  <si>
    <r>
      <rPr>
        <sz val="10"/>
        <rFont val="Noto Sans CJK SC"/>
        <family val="2"/>
      </rPr>
      <t xml:space="preserve">불의 기운이 적은 차트는 즉흥적인 추진력 대신 꾸준함이나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공감으로 일을 이끌어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쌓아 온 방식이 이미 나만의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미뤄 두고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오늘 시작해 보는 연습을 의식적으로 챙겨 보세요</t>
    </r>
    <r>
      <rPr>
        <sz val="10"/>
        <rFont val="맑은 고딕"/>
        <family val="0"/>
        <charset val="1"/>
      </rPr>
      <t xml:space="preserve">.</t>
    </r>
  </si>
  <si>
    <t xml:space="preserve">ELEM_EARTH_STRONG</t>
  </si>
  <si>
    <r>
      <rPr>
        <sz val="10"/>
        <rFont val="Noto Sans CJK SC"/>
        <family val="2"/>
      </rPr>
      <t xml:space="preserve">흙의 기운이 강하면 현실 감각이 뛰어나고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결과를 차근차근 쌓아 가는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세우고 끝까지 지켜 내는 성실함이 주변에 믿음을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확인할 것이 많아질수록 즉흥적인 즐거움이 줄어들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</si>
  <si>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현실적으로 따지고 조정하는 ‘조율하기’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</si>
  <si>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ELEM_EARTH_WEAK</t>
  </si>
  <si>
    <r>
      <rPr>
        <sz val="10"/>
        <rFont val="Noto Sans CJK SC"/>
        <family val="2"/>
      </rPr>
      <t xml:space="preserve">흙의 기운이 적은 차트는 정해진 틀보다 열정이나 아이디어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감정의 흐름을 따라 움직여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유연함 덕분에 새로운 상황에도 빠르게 적응할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 같은 생활 루틴을 의식적으로 챙기면 생각과 마음이 한결 안정돼요</t>
    </r>
    <r>
      <rPr>
        <sz val="10"/>
        <rFont val="맑은 고딕"/>
        <family val="0"/>
        <charset val="1"/>
      </rPr>
      <t xml:space="preserve">.</t>
    </r>
  </si>
  <si>
    <t xml:space="preserve">ELEM_AIR_STRONG</t>
  </si>
  <si>
    <r>
      <rPr>
        <sz val="10"/>
        <rFont val="Noto Sans CJK SC"/>
        <family val="2"/>
      </rPr>
      <t xml:space="preserve">공기의 기운이 강하면 생각이 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 걸음 떨어져서 바라보는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대화와 정보를 통해 사람과 아이디어를 잇는 데 능숙해요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머리로 이해하는 데서 멈추면 정작 내 감정은 놓치기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</si>
  <si>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공기가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혼자 정리할 시간을 갖는 ‘거리두기’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</si>
  <si>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ELEM_AIR_WEAK</t>
  </si>
  <si>
    <r>
      <rPr>
        <sz val="10"/>
        <rFont val="Noto Sans CJK SC"/>
        <family val="2"/>
      </rPr>
      <t xml:space="preserve">공기의 기운이 적은 차트는 말로 풀어내기보다 행동이나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마음으로 먼저 반응해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직접 겪으며 얻은 판단에 깊이가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클 때 한 걸음 물러나 생각을 적어 보거나 다른 사람의 관점을 들어 보는 시간을 챙겨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</si>
  <si>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리포트처럼 원소 점수가 영점인 차트도 이 부족할 때 문장을 그대로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영점일 때 별도 문장이 필요한지 확인 부탁드립니다</t>
    </r>
    <r>
      <rPr>
        <sz val="10"/>
        <rFont val="맑은 고딕"/>
        <family val="0"/>
        <charset val="1"/>
      </rPr>
      <t xml:space="preserve">.</t>
    </r>
  </si>
  <si>
    <t xml:space="preserve">ELEM_WATER_STRONG</t>
  </si>
  <si>
    <r>
      <rPr>
        <sz val="10"/>
        <rFont val="Noto Sans CJK SC"/>
        <family val="2"/>
      </rPr>
      <t xml:space="preserve">물의 기운이 강하면 다른 사람의 마음을 섬세하게 읽고 깊이 공감하는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말하지 않아도 분위기를 알아채고 먼저 품어 주는 따뜻함이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남의 감정까지 함께 짊어지면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비워 내는 시간이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</si>
  <si>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상대에게 맞춰 분위기를 지키는 ‘맞춰주기’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</si>
  <si>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ELEM_WATER_WEAK</t>
  </si>
  <si>
    <r>
      <rPr>
        <sz val="10"/>
        <rFont val="Noto Sans CJK SC"/>
        <family val="2"/>
      </rPr>
      <t xml:space="preserve">물의 기운이 적은 차트는 감정에 머물기보다 행동이나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 감각으로 상황을 헤쳐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덕분에 어려운 순간에도 침착하게 중심을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가끔은 ‘지금 내 기분은 어떤가’를 스스로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믿을 만한 사람에게 꺼내 보는 시간을 챙겨 보세요</t>
    </r>
    <r>
      <rPr>
        <sz val="10"/>
        <rFont val="맑은 고딕"/>
        <family val="0"/>
        <charset val="1"/>
      </rPr>
      <t xml:space="preserve">.</t>
    </r>
  </si>
  <si>
    <t xml:space="preserve">트랜짓 행성</t>
  </si>
  <si>
    <t xml:space="preserve">출생 대상</t>
  </si>
  <si>
    <t xml:space="preserve">각도 묶음</t>
  </si>
  <si>
    <t xml:space="preserve">이벤트 이름</t>
  </si>
  <si>
    <t xml:space="preserve">그 뜻 한 줄</t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</si>
  <si>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과거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</si>
  <si>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미래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</si>
  <si>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(2~3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</si>
  <si>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톤</t>
  </si>
  <si>
    <t xml:space="preserve">TR_JUPITER_SUN_CONJ</t>
  </si>
  <si>
    <t xml:space="preserve">합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</si>
  <si>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</si>
  <si>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확장의 별이 나의 중심에 겹치는 자리 — 나를 넓게 펼치고 싶은 마음이 커져요</t>
  </si>
  <si>
    <r>
      <rPr>
        <sz val="10"/>
        <rFont val="Noto Sans CJK SC"/>
        <family val="2"/>
      </rPr>
      <t xml:space="preserve">나를 드러낼 기회가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자신감이 한 뼘 자랐을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</si>
  <si>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일을 더 크게 펼쳐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</si>
  <si>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믿는 힘이 커져서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도전에 손을 뻗기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일에서든 일상에서든 ‘해 보자’는 말이 자주 나오는 때일 수 있습니다</t>
    </r>
    <r>
      <rPr>
        <sz val="10"/>
        <rFont val="맑은 고딕"/>
        <family val="0"/>
        <charset val="1"/>
      </rPr>
      <t xml:space="preserve">.</t>
    </r>
  </si>
  <si>
    <t xml:space="preserve">순풍</t>
  </si>
  <si>
    <t xml:space="preserve">나를 펼치기</t>
  </si>
  <si>
    <t xml:space="preserve">TR_JUPITER_SUN_HARM</t>
  </si>
  <si>
    <t xml:space="preserve">조화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</si>
  <si>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</si>
  <si>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확장의 별이 나의 중심을 자연스럽게 돕는 각도 — 애쓰지 않아도 일이 풀리는 느낌을 줘요</t>
  </si>
  <si>
    <r>
      <rPr>
        <sz val="10"/>
        <rFont val="Noto Sans CJK SC"/>
        <family val="2"/>
      </rPr>
      <t xml:space="preserve">크게 애쓰지 않았는데도 일이 술술 풀린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</si>
  <si>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자연스럽게 들어오는 기회에 가볍게 응해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</si>
  <si>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 그대로 있을 때 도움과 기회가 따라오기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제안이나 소개에 한 번 더 귀 기울여 볼 만한 시기입니다</t>
    </r>
    <r>
      <rPr>
        <sz val="10"/>
        <rFont val="맑은 고딕"/>
        <family val="0"/>
        <charset val="1"/>
      </rPr>
      <t xml:space="preserve">.</t>
    </r>
  </si>
  <si>
    <t xml:space="preserve">순한 기회</t>
  </si>
  <si>
    <t xml:space="preserve">TR_JUPITER_SUN_TENSE</t>
  </si>
  <si>
    <t xml:space="preserve">긴장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</si>
  <si>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</si>
  <si>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확장의 별이 나의 중심과 부딪치는 각도 — 의욕이 커지는 만큼 과신하기 쉬워요</t>
  </si>
  <si>
    <r>
      <rPr>
        <sz val="10"/>
        <rFont val="Noto Sans CJK SC"/>
        <family val="2"/>
      </rPr>
      <t xml:space="preserve">하고 싶은 일이 많아져 계획보다 크게 벌인 일이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</si>
  <si>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벌이고 싶은 일 가운데 정말 원하는 것만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</si>
  <si>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해낼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</si>
  <si>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t xml:space="preserve">중립</t>
  </si>
  <si>
    <t xml:space="preserve">알맞은 크기</t>
  </si>
  <si>
    <r>
      <rPr>
        <sz val="10"/>
        <rFont val="Noto Sans CJK SC"/>
        <family val="2"/>
      </rPr>
      <t xml:space="preserve">목성 긴장은 과함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과신 주의로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</si>
  <si>
    <t xml:space="preserve">TR_JUPITER_MOON_CONJ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</si>
  <si>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</si>
  <si>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확장의 별이 감정의 별과 겹치는 자리 — 마음의 품이 넓어지고 집이 편안해져요</t>
  </si>
  <si>
    <r>
      <rPr>
        <sz val="10"/>
        <rFont val="Noto Sans CJK SC"/>
        <family val="2"/>
      </rPr>
      <t xml:space="preserve">마음이 한결 넉넉해지고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집이나 가까운 사람 곁에서 위로를 받았을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</si>
  <si>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마음의 자리를 넉넉하게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</si>
  <si>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품이 넓어져 나와 주변을 너그럽게 바라보기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머무는 공간을 정돈하거나 가까운 사람과 저녁을 나누는 일이 오래 힘이 될 수 있어요</t>
    </r>
    <r>
      <rPr>
        <sz val="10"/>
        <rFont val="맑은 고딕"/>
        <family val="0"/>
        <charset val="1"/>
      </rPr>
      <t xml:space="preserve">.</t>
    </r>
  </si>
  <si>
    <t xml:space="preserve">마음의 품</t>
  </si>
  <si>
    <t xml:space="preserve">TR_JUPITER_MOON_HARM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</si>
  <si>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</si>
  <si>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확장의 별이 감정의 별을 자연스럽게 돕는 각도 — 마음이 편안하게 차오르게 해요</t>
  </si>
  <si>
    <r>
      <rPr>
        <sz val="10"/>
        <rFont val="Noto Sans CJK SC"/>
        <family val="2"/>
      </rPr>
      <t xml:space="preserve">기분이 안정되고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일상에서 기쁨을 자주 느꼈을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</si>
  <si>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편해지는 습관을 하나 들여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</si>
  <si>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큰일이 없어도 마음이 차분히 채워지고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기대는 일도 덜 어렵게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편안함을 작은 루틴으로 붙잡아 두면 바쁜 시기에 돌아올 자리가 돼요</t>
    </r>
    <r>
      <rPr>
        <sz val="10"/>
        <rFont val="맑은 고딕"/>
        <family val="0"/>
        <charset val="1"/>
      </rPr>
      <t xml:space="preserve">.</t>
    </r>
  </si>
  <si>
    <t xml:space="preserve">편안한 마음</t>
  </si>
  <si>
    <t xml:space="preserve">TR_JUPITER_MOON_TENSE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</si>
  <si>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</si>
  <si>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확장의 별이 감정의 별과 긴장하는 각도 — 기쁨도 서운함도 크게 부풀기 쉬워요</t>
  </si>
  <si>
    <r>
      <rPr>
        <sz val="10"/>
        <rFont val="Noto Sans CJK SC"/>
        <family val="2"/>
      </rPr>
      <t xml:space="preserve">기분이 크게 오르내리거나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가는 대로 약속을 늘린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</si>
  <si>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클 때는 결정을 하루 묵혀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</si>
  <si>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기분도 서운함도 평소보다 크게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기분에 따라 지출이나 약속을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커질 때 바로 움직이기보다 하루쯤 지켜보는 여유를 두면 좋습니다</t>
    </r>
    <r>
      <rPr>
        <sz val="10"/>
        <rFont val="맑은 고딕"/>
        <family val="0"/>
        <charset val="1"/>
      </rPr>
      <t xml:space="preserve">.</t>
    </r>
  </si>
  <si>
    <t xml:space="preserve">마음 고르기</t>
  </si>
  <si>
    <t xml:space="preserve">TR_JUPITER_MERCURY_CONJ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</si>
  <si>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</si>
  <si>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배우고 말하고 싶은 것이 많아져요</t>
    </r>
  </si>
  <si>
    <r>
      <rPr>
        <sz val="10"/>
        <rFont val="Noto Sans CJK SC"/>
        <family val="2"/>
      </rPr>
      <t xml:space="preserve">새로운 배움이나 대화가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아이디어가 많이 떠올랐을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</si>
  <si>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쓰고 말하는 일에 시간을 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</si>
  <si>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호기심이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생각을 말이나 글로 꺼내기가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하지 못한 대화를 시작해 보기 좋은 때예요</t>
    </r>
    <r>
      <rPr>
        <sz val="10"/>
        <rFont val="맑은 고딕"/>
        <family val="0"/>
        <charset val="1"/>
      </rPr>
      <t xml:space="preserve">.</t>
    </r>
  </si>
  <si>
    <t xml:space="preserve">배움과 말</t>
  </si>
  <si>
    <t xml:space="preserve">TR_JUPITER_MERCURY_HARM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</si>
  <si>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</si>
  <si>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자연스럽게 돕는 각도 — 말과 연락이 잘 통하게 해요</t>
    </r>
  </si>
  <si>
    <r>
      <rPr>
        <sz val="10"/>
        <rFont val="Noto Sans CJK SC"/>
        <family val="2"/>
      </rPr>
      <t xml:space="preserve">연락이 잘 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통하는 사람을 만나 일이 수월했을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</si>
  <si>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제안하고 연락하고 생각을 정리해 말하기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</si>
  <si>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설명이 잘 전달되고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정보나 사람과 연결되기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연락을 이때 보내 보는 것도 방법입니다</t>
    </r>
    <r>
      <rPr>
        <sz val="10"/>
        <rFont val="맑은 고딕"/>
        <family val="0"/>
        <charset val="1"/>
      </rPr>
      <t xml:space="preserve">.</t>
    </r>
  </si>
  <si>
    <t xml:space="preserve">통하는 말</t>
  </si>
  <si>
    <t xml:space="preserve">TR_JUPITER_MERCURY_TENSE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</si>
  <si>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</si>
  <si>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말과 약속이 앞서가기 쉬워요</t>
    </r>
  </si>
  <si>
    <r>
      <rPr>
        <sz val="10"/>
        <rFont val="Noto Sans CJK SC"/>
        <family val="2"/>
      </rPr>
      <t xml:space="preserve">생각이 많아지거나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지키기 빠듯한 약속을 한 적이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</si>
  <si>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한 번 더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약속은 줄여 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</si>
  <si>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</si>
  <si>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세부 챙기기</t>
  </si>
  <si>
    <t xml:space="preserve">TR_JUPITER_VENUS_CONJ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</si>
  <si>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</si>
  <si>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즐거움과 다정함이 커져요</t>
    </r>
  </si>
  <si>
    <r>
      <rPr>
        <sz val="10"/>
        <rFont val="Noto Sans CJK SC"/>
        <family val="2"/>
      </rPr>
      <t xml:space="preserve">좋아하는 것을 즐길 일이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사람들과의 관계가 한결 따뜻했을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</si>
  <si>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마음껏 즐기고 고마운 사람을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</si>
  <si>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</si>
  <si>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t xml:space="preserve">즐거움</t>
  </si>
  <si>
    <t xml:space="preserve">TR_JUPITER_VENUS_HARM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</si>
  <si>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</si>
  <si>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자연스럽게 돕는 각도 — 관계에 온기가 돌아요</t>
    </r>
  </si>
  <si>
    <r>
      <rPr>
        <sz val="10"/>
        <rFont val="Noto Sans CJK SC"/>
        <family val="2"/>
      </rPr>
      <t xml:space="preserve">사람들과 어울리는 자리가 편안하고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소소한 행운이 따랐을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</si>
  <si>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관계에 온기를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작은 선물을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</si>
  <si>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</si>
  <si>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t xml:space="preserve">관계의 온기</t>
  </si>
  <si>
    <t xml:space="preserve">TR_JUPITER_VENUS_TENSE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</si>
  <si>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</si>
  <si>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기분에 들떠 지나치기 쉬워요</t>
    </r>
  </si>
  <si>
    <r>
      <rPr>
        <sz val="10"/>
        <rFont val="Noto Sans CJK SC"/>
        <family val="2"/>
      </rPr>
      <t xml:space="preserve">즐거운 만큼 지출이나 약속이 늘어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조금 버거웠을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</si>
  <si>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즐거움은 지키되 지출과 약속의 선을 정해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</si>
  <si>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뒤탈 없이 즐거움만 남습니다</t>
    </r>
    <r>
      <rPr>
        <sz val="10"/>
        <rFont val="맑은 고딕"/>
        <family val="0"/>
        <charset val="1"/>
      </rPr>
      <t xml:space="preserve">.</t>
    </r>
  </si>
  <si>
    <t xml:space="preserve">즐거움의 선</t>
  </si>
  <si>
    <t xml:space="preserve">TR_JUPITER_MARS_CONJ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</si>
  <si>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</si>
  <si>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확장의 별이 의욕의 별과 겹치는 자리 — 움직일 힘과 용기가 커져요</t>
  </si>
  <si>
    <r>
      <rPr>
        <sz val="10"/>
        <rFont val="Noto Sans CJK SC"/>
        <family val="2"/>
      </rPr>
      <t xml:space="preserve">의욕이 솟아 새 일을 벌이거나 오래 미룬 일을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</si>
  <si>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도전을 실제로 시작해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</si>
  <si>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앞으로 나가려 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생각만 하던 일을 실행에 옮기기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힘을 한두 가지 목표에 모으면 결과로 남기 좋습니다</t>
    </r>
    <r>
      <rPr>
        <sz val="10"/>
        <rFont val="맑은 고딕"/>
        <family val="0"/>
        <charset val="1"/>
      </rPr>
      <t xml:space="preserve">.</t>
    </r>
  </si>
  <si>
    <t xml:space="preserve">실행력</t>
  </si>
  <si>
    <t xml:space="preserve">TR_JUPITER_MARS_HARM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</si>
  <si>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</si>
  <si>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확장의 별이 의욕의 별을 자연스럽게 돕는 각도 — 노력이 결과로 이어지기 쉬워요</t>
  </si>
  <si>
    <r>
      <rPr>
        <sz val="10"/>
        <rFont val="Noto Sans CJK SC"/>
        <family val="2"/>
      </rPr>
      <t xml:space="preserve">애쓴 만큼 성과가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밀고 나갈 힘이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</si>
  <si>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꾸준히 해 온 일에 속도를 조금 더 붙여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</si>
  <si>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움직인 만큼 반응이 오니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일에 탄력이 붙기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산책이나 운동처럼 몸을 쓰는 루틴을 새로 들이기에도 좋은 흐름이에요</t>
    </r>
    <r>
      <rPr>
        <sz val="10"/>
        <rFont val="맑은 고딕"/>
        <family val="0"/>
        <charset val="1"/>
      </rPr>
      <t xml:space="preserve">.</t>
    </r>
  </si>
  <si>
    <t xml:space="preserve">탄력</t>
  </si>
  <si>
    <t xml:space="preserve">TR_JUPITER_MARS_TENSE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</si>
  <si>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</si>
  <si>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확장의 별이 의욕의 별과 긴장하는 각도 — 의욕이 앞서 무리하기 쉬워요</t>
  </si>
  <si>
    <r>
      <rPr>
        <sz val="10"/>
        <rFont val="Noto Sans CJK SC"/>
        <family val="2"/>
      </rPr>
      <t xml:space="preserve">의욕이 넘쳐 무리하거나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성급하게 부딪친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</si>
  <si>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힘을 쓸 곳과 아낄 곳을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</si>
  <si>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넘치는 만큼 한꺼번에 많은 일을 붙잡거나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답답한 상황에 크게 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끝에 쉬는 시간을 먼저 정해 두면 그 힘을 오래 쓸 수 있습니다</t>
    </r>
    <r>
      <rPr>
        <sz val="10"/>
        <rFont val="맑은 고딕"/>
        <family val="0"/>
        <charset val="1"/>
      </rPr>
      <t xml:space="preserve">.</t>
    </r>
  </si>
  <si>
    <t xml:space="preserve">힘 조절</t>
  </si>
  <si>
    <t xml:space="preserve">TR_JUPITER_ASC_CONJ</t>
  </si>
  <si>
    <t xml:space="preserve">상승궁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</si>
  <si>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</si>
  <si>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확장의 별이 나를 드러내는 자리에 겹치는 때 — 나를 보여 줄 무대가 넓어져요</t>
  </si>
  <si>
    <r>
      <rPr>
        <sz val="10"/>
        <rFont val="Noto Sans CJK SC"/>
        <family val="2"/>
      </rPr>
      <t xml:space="preserve">사람들 앞에 설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보는 시선이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</si>
  <si>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모습으로 나를 소개해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</si>
  <si>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태도에 여유가 생겨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사람에게도 좋은 인상을 남기기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모임이나 새 역할에서 나의 다른 면을 보여 줄 수 있는 때예요</t>
    </r>
    <r>
      <rPr>
        <sz val="10"/>
        <rFont val="맑은 고딕"/>
        <family val="0"/>
        <charset val="1"/>
      </rPr>
      <t xml:space="preserve">.</t>
    </r>
  </si>
  <si>
    <t xml:space="preserve">새 무대</t>
  </si>
  <si>
    <t xml:space="preserve">TR_JUPITER_ASC_HARM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</si>
  <si>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</si>
  <si>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확장의 별이 첫인상의 자리를 자연스럽게 돕는 각도 — 새 사람과 새 배움이 기분을 가볍게 해요</t>
  </si>
  <si>
    <r>
      <rPr>
        <sz val="10"/>
        <rFont val="Noto Sans CJK SC"/>
        <family val="2"/>
      </rPr>
      <t xml:space="preserve">새로 만난 사람이나 짧은 배움이 기분을 한결 가볍게 해 주었을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</si>
  <si>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가 보는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 문을 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</si>
  <si>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첫인상의 자리를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꾸미지 않아도 호감이 전해져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만남이 부드럽게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후 짧은 강의나 처음 인사한 동료와의 대화가 생각보다 오래 힘이 될 수 있습니다</t>
    </r>
    <r>
      <rPr>
        <sz val="10"/>
        <rFont val="맑은 고딕"/>
        <family val="0"/>
        <charset val="1"/>
      </rPr>
      <t xml:space="preserve">.</t>
    </r>
  </si>
  <si>
    <t xml:space="preserve">열린 문</t>
  </si>
  <si>
    <t xml:space="preserve">TR_JUPITER_ASC_TENSE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</si>
  <si>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</si>
  <si>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확장의 별이 첫인상의 자리와 긴장하는 각도 — 넓히려는 마음이 앞서기 쉬워요</t>
  </si>
  <si>
    <r>
      <rPr>
        <sz val="10"/>
        <rFont val="Noto Sans CJK SC"/>
        <family val="2"/>
      </rPr>
      <t xml:space="preserve">나를 더 보여 주고 싶어 여러 일을 맡았다가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 벅찼을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</si>
  <si>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넓히기보다 지금 가진 것을 지키는 쪽에 무게를 두기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</si>
  <si>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지금 가진 것을 지키는 데 두면 균형이 잡힙니다</t>
    </r>
    <r>
      <rPr>
        <sz val="10"/>
        <rFont val="맑은 고딕"/>
        <family val="0"/>
        <charset val="1"/>
      </rPr>
      <t xml:space="preserve">.</t>
    </r>
  </si>
  <si>
    <t xml:space="preserve">균형</t>
  </si>
  <si>
    <t xml:space="preserve">TR_JUPITER_MC_CONJ</t>
  </si>
  <si>
    <t xml:space="preserve">천정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</si>
  <si>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</si>
  <si>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확장의 별이 커리어의 꼭대기에 겹치는 자리 — 일에서 기회와 인정이 열려요</t>
  </si>
  <si>
    <r>
      <rPr>
        <sz val="10"/>
        <rFont val="Noto Sans CJK SC"/>
        <family val="2"/>
      </rPr>
      <t xml:space="preserve">일에서 새 기회가 들어오거나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일이 눈에 띄는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</si>
  <si>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한 단계 높게 그려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</si>
  <si>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역할이나 제안이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오면 지금 가는 방향과 이어지는지부터 살펴보고 잡는 편이 좋아요</t>
    </r>
    <r>
      <rPr>
        <sz val="10"/>
        <rFont val="맑은 고딕"/>
        <family val="0"/>
        <charset val="1"/>
      </rPr>
      <t xml:space="preserve">.</t>
    </r>
  </si>
  <si>
    <t xml:space="preserve">커리어 확장</t>
  </si>
  <si>
    <t xml:space="preserve">TR_JUPITER_MC_HARM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</si>
  <si>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</si>
  <si>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확장의 별이 커리어 방향을 자연스럽게 돕는 각도 — 일의 흐름이 순하게 풀려요</t>
  </si>
  <si>
    <r>
      <rPr>
        <sz val="10"/>
        <rFont val="Noto Sans CJK SC"/>
        <family val="2"/>
      </rPr>
      <t xml:space="preserve">일이 순하게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도와주는 사람이 곁에 있었을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</si>
  <si>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도움을 청하고 협업을 넓혀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</si>
  <si>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무리하지 않아도 일이 조금씩 앞으로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동료나 윗사람의 지지를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방향을 주변에 한 번 말해 두면 연결이 생기기 좋은 때예요</t>
    </r>
    <r>
      <rPr>
        <sz val="10"/>
        <rFont val="맑은 고딕"/>
        <family val="0"/>
        <charset val="1"/>
      </rPr>
      <t xml:space="preserve">.</t>
    </r>
  </si>
  <si>
    <t xml:space="preserve">일의 순풍</t>
  </si>
  <si>
    <t xml:space="preserve">TR_JUPITER_MC_TENSE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</si>
  <si>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</si>
  <si>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확장의 별이 커리어 방향과 긴장하는 각도 — 일과 생활의 균형이 기울기 쉬워요</t>
  </si>
  <si>
    <r>
      <rPr>
        <sz val="10"/>
        <rFont val="Noto Sans CJK SC"/>
        <family val="2"/>
      </rPr>
      <t xml:space="preserve">일 욕심이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집 사이에서 마음이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</si>
  <si>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현실적인 크기로 다듬기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</si>
  <si>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자리나 성과를 바라는 마음이 커지는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생활의 균형이 한쪽으로 기울기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욕심나는 기회가 와도 지금의 일상이 감당할 수 있는지 함께 따져 보면 좋습니다</t>
    </r>
    <r>
      <rPr>
        <sz val="10"/>
        <rFont val="맑은 고딕"/>
        <family val="0"/>
        <charset val="1"/>
      </rPr>
      <t xml:space="preserve">.</t>
    </r>
  </si>
  <si>
    <t xml:space="preserve">현실적 목표</t>
  </si>
  <si>
    <t xml:space="preserve">TR_SATURN_SUN_CONJ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</si>
  <si>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</si>
  <si>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책임의 별이 나의 중심을 누르는 자리 — 맡은 역할의 무게를 실감하게 해요</t>
  </si>
  <si>
    <r>
      <rPr>
        <sz val="10"/>
        <rFont val="Noto Sans CJK SC"/>
        <family val="2"/>
      </rPr>
      <t xml:space="preserve">책임이 한꺼번에 몰려 지치고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나는 잘하고 있나’를 자주 물었을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</si>
  <si>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일과 내려놓을 일을 가려내기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</si>
  <si>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역할이 무겁게 느껴지고 피로가 쌓이기 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평소보다 속도가 나지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이 시기에 정리한 우선순위는 이후 몇 해를 버티는 단단한 뼈대가 됩니다</t>
    </r>
    <r>
      <rPr>
        <sz val="10"/>
        <rFont val="맑은 고딕"/>
        <family val="0"/>
        <charset val="1"/>
      </rPr>
      <t xml:space="preserve">.</t>
    </r>
  </si>
  <si>
    <t xml:space="preserve">역풍</t>
  </si>
  <si>
    <t xml:space="preserve">책임의 무게</t>
  </si>
  <si>
    <t xml:space="preserve">TR_SATURN_SUN_HARM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</si>
  <si>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</si>
  <si>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책임의 별이 나의 중심을 받쳐 주는 각도 — 꾸준함이 인정으로 돌아와요</t>
  </si>
  <si>
    <r>
      <rPr>
        <sz val="10"/>
        <rFont val="Noto Sans CJK SC"/>
        <family val="2"/>
      </rPr>
      <t xml:space="preserve">꾸준히 해 온 일이 조금씩 인정받고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자리가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</si>
  <si>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</si>
  <si>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화려하진 않아도 들인 노력이 그대로 결과로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보고 시작하는 공부나 계획이 있다면 이때 뼈대를 세워 두기 좋습니다</t>
    </r>
    <r>
      <rPr>
        <sz val="10"/>
        <rFont val="맑은 고딕"/>
        <family val="0"/>
        <charset val="1"/>
      </rPr>
      <t xml:space="preserve">.</t>
    </r>
  </si>
  <si>
    <t xml:space="preserve">쌓이는 인정</t>
  </si>
  <si>
    <t xml:space="preserve">TR_SATURN_SUN_TENSE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</si>
  <si>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</si>
  <si>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책임의 별이 나의 중심과 긴장하는 각도 — 압박 속에서 내 힘을 시험받아요</t>
  </si>
  <si>
    <r>
      <rPr>
        <sz val="10"/>
        <rFont val="Noto Sans CJK SC"/>
        <family val="2"/>
      </rPr>
      <t xml:space="preserve">뜻대로 풀리지 않는 일이 이어져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의심한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</si>
  <si>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속도보다 방향을 점검하며 버티는 힘을 기르기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</si>
  <si>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결과가 더디거나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바깥의 기대와 내 마음이 부딪치는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정말 지킬 것과 놓아도 될 것이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나에 대한 믿음이 단단해집니다</t>
    </r>
    <r>
      <rPr>
        <sz val="10"/>
        <rFont val="맑은 고딕"/>
        <family val="0"/>
        <charset val="1"/>
      </rPr>
      <t xml:space="preserve">.</t>
    </r>
  </si>
  <si>
    <t xml:space="preserve">버티는 힘</t>
  </si>
  <si>
    <t xml:space="preserve">TR_SATURN_MOON_CONJ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</si>
  <si>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</si>
  <si>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책임의 별이 감정의 별과 겹치는 자리 — 마음이 무겁고 혼자 감당하려 하기 쉬워요</t>
  </si>
  <si>
    <r>
      <rPr>
        <sz val="10"/>
        <rFont val="Noto Sans CJK SC"/>
        <family val="2"/>
      </rPr>
      <t xml:space="preserve">마음이 무거워 혼자 삭이는 날이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더해졌을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</si>
  <si>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마음을 혼자 견디기보다 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</si>
  <si>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쉽게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티를 내지 않은 채 혼자 견디려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무게를 지나며 내가 무엇에서 안정을 얻는지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돌보는 나만의 방법이 생길 수 있어요</t>
    </r>
    <r>
      <rPr>
        <sz val="10"/>
        <rFont val="맑은 고딕"/>
        <family val="0"/>
        <charset val="1"/>
      </rPr>
      <t xml:space="preserve">.</t>
    </r>
  </si>
  <si>
    <t xml:space="preserve">마음의 무게</t>
  </si>
  <si>
    <t xml:space="preserve">‘집과 가까운 사람에 대한 책임’ 표현 수위 확인 부탁</t>
  </si>
  <si>
    <t xml:space="preserve">TR_SATURN_MOON_HARM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</si>
  <si>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</si>
  <si>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책임의 별이 감정의 별을 받쳐 주는 각도 — 마음에 단단한 바닥이 생겨요</t>
  </si>
  <si>
    <r>
      <rPr>
        <sz val="10"/>
        <rFont val="Noto Sans CJK SC"/>
        <family val="2"/>
      </rPr>
      <t xml:space="preserve">마음이 차분히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생활이 조금씩 자리를 잡아 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</si>
  <si>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리듬과 집의 질서를 단단히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</si>
  <si>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오래가는 안정이 돼요</t>
    </r>
    <r>
      <rPr>
        <sz val="10"/>
        <rFont val="맑은 고딕"/>
        <family val="0"/>
        <charset val="1"/>
      </rPr>
      <t xml:space="preserve">.</t>
    </r>
  </si>
  <si>
    <t xml:space="preserve">안정</t>
  </si>
  <si>
    <t xml:space="preserve">TR_SATURN_MOON_TENSE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</si>
  <si>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</si>
  <si>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책임의 별이 감정의 별과 긴장하는 각도 — 의무와 마음 사이에서 무게를 느껴요</t>
  </si>
  <si>
    <r>
      <rPr>
        <sz val="10"/>
        <rFont val="Noto Sans CJK SC"/>
        <family val="2"/>
      </rPr>
      <t xml:space="preserve">해야 할 일과 마음이 원하는 것 사이에서 지치고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외롭게 느낀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</si>
  <si>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감정이 보내는 신호를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정하기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</si>
  <si>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바깥의 의무와 마음의 필요가 부딪쳐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쉬어도 쉰 것 같지 않거나 서운함이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감정을 미루지 않고 다루는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그것이 다음 시기의 든든한 바탕이 됩니다</t>
    </r>
    <r>
      <rPr>
        <sz val="10"/>
        <rFont val="맑은 고딕"/>
        <family val="0"/>
        <charset val="1"/>
      </rPr>
      <t xml:space="preserve">.</t>
    </r>
  </si>
  <si>
    <t xml:space="preserve">감정 돌보기</t>
  </si>
  <si>
    <t xml:space="preserve">TR_SATURN_MERCURY_CONJ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</si>
  <si>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</si>
  <si>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말과 판단이 신중하고 무거워져요</t>
    </r>
  </si>
  <si>
    <r>
      <rPr>
        <sz val="10"/>
        <rFont val="Noto Sans CJK SC"/>
        <family val="2"/>
      </rPr>
      <t xml:space="preserve">생각이 많아져 말을 아끼거나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일에 신경 쓸 게 많았을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</si>
  <si>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글로 정리하고 하나씩 결론 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</si>
  <si>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무겁고 말이 쉽게 나오지 않을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판단은 신중해져요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공부나 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계약처럼 꼼꼼함이 필요한 일을 차근차근 마무리하기에는 오히려 잘 맞는 흐름입니다</t>
    </r>
    <r>
      <rPr>
        <sz val="10"/>
        <rFont val="맑은 고딕"/>
        <family val="0"/>
        <charset val="1"/>
      </rPr>
      <t xml:space="preserve">.</t>
    </r>
  </si>
  <si>
    <t xml:space="preserve">신중한 생각</t>
  </si>
  <si>
    <t xml:space="preserve">TR_SATURN_MERCURY_HARM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</si>
  <si>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</si>
  <si>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받쳐 주는 각도 — 집중하고 정리하는 힘이 좋아져요</t>
    </r>
  </si>
  <si>
    <r>
      <rPr>
        <sz val="10"/>
        <rFont val="Noto Sans CJK SC"/>
        <family val="2"/>
      </rPr>
      <t xml:space="preserve">집중해서 공부하거나 일을 체계적으로 정리해 낸 성과가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</si>
  <si>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문서처럼 오래 남는 일에 집중하기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</si>
  <si>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차분하게 정리되고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약속과 말에 무게가 실려 신뢰를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긴 계획을 구체적인 순서로 적어 보기 좋은 시기예요</t>
    </r>
    <r>
      <rPr>
        <sz val="10"/>
        <rFont val="맑은 고딕"/>
        <family val="0"/>
        <charset val="1"/>
      </rPr>
      <t xml:space="preserve">.</t>
    </r>
  </si>
  <si>
    <t xml:space="preserve">집중</t>
  </si>
  <si>
    <t xml:space="preserve">TR_SATURN_MERCURY_TENSE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</si>
  <si>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</si>
  <si>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걱정이 많아지고 말이 막히기 쉬워요</t>
    </r>
  </si>
  <si>
    <r>
      <rPr>
        <sz val="10"/>
        <rFont val="Noto Sans CJK SC"/>
        <family val="2"/>
      </rPr>
      <t xml:space="preserve">말이 엇갈리거나 일이 서류 단계에서 늦어져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</si>
  <si>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말과 결정은 기록으로 남기며 천천히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</si>
  <si>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오래가는 신뢰가 쌓입니다</t>
    </r>
    <r>
      <rPr>
        <sz val="10"/>
        <rFont val="맑은 고딕"/>
        <family val="0"/>
        <charset val="1"/>
      </rPr>
      <t xml:space="preserve">.</t>
    </r>
  </si>
  <si>
    <t xml:space="preserve">기록하기</t>
  </si>
  <si>
    <t xml:space="preserve">TR_SATURN_VENUS_CONJ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</si>
  <si>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</si>
  <si>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관계와 돈을 진지하게 돌아보게 해요</t>
    </r>
  </si>
  <si>
    <r>
      <rPr>
        <sz val="10"/>
        <rFont val="Noto Sans CJK SC"/>
        <family val="2"/>
      </rPr>
      <t xml:space="preserve">관계나 돈을 현실적으로 따져 보게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즐거움이 조금 줄었을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</si>
  <si>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곁에 둘 관계와 소비를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</si>
  <si>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오래갈 관계에 마음을 더 쏟을 수 있어요</t>
    </r>
    <r>
      <rPr>
        <sz val="10"/>
        <rFont val="맑은 고딕"/>
        <family val="0"/>
        <charset val="1"/>
      </rPr>
      <t xml:space="preserve">.</t>
    </r>
  </si>
  <si>
    <t xml:space="preserve">가치 점검</t>
  </si>
  <si>
    <r>
      <rPr>
        <sz val="10"/>
        <rFont val="Noto Sans CJK SC"/>
        <family val="2"/>
      </rPr>
      <t xml:space="preserve">관계 변화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이별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예측으로 읽히지 않도록 ‘따져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아끼는 것’ 중심으로 씀</t>
    </r>
  </si>
  <si>
    <t xml:space="preserve">TR_SATURN_VENUS_HARM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</si>
  <si>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</si>
  <si>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받쳐 주는 각도 — 관계와 살림이 차분히 안정돼요</t>
    </r>
  </si>
  <si>
    <r>
      <rPr>
        <sz val="10"/>
        <rFont val="Noto Sans CJK SC"/>
        <family val="2"/>
      </rPr>
      <t xml:space="preserve">믿을 수 있는 관계가 조금씩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관리도 차분해졌을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</si>
  <si>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</si>
  <si>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</si>
  <si>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믿음</t>
  </si>
  <si>
    <t xml:space="preserve">TR_SATURN_VENUS_TENSE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</si>
  <si>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</si>
  <si>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긴장하는 각도 — 관계에서 거리감이나 아쉬움을 느끼기 쉬워요</t>
    </r>
  </si>
  <si>
    <r>
      <rPr>
        <sz val="10"/>
        <rFont val="Noto Sans CJK SC"/>
        <family val="2"/>
      </rPr>
      <t xml:space="preserve">관계에서 서운함을 느끼거나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것을 참아야 하는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</si>
  <si>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 기준을 다시 세워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</si>
  <si>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</si>
  <si>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t xml:space="preserve">나의 기준</t>
  </si>
  <si>
    <t xml:space="preserve">TR_SATURN_MARS_CONJ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</si>
  <si>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</si>
  <si>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책임의 별이 행동의 별과 겹치는 자리 — 브레이크를 밟은 채 달리는 느낌이 들어요</t>
  </si>
  <si>
    <r>
      <rPr>
        <sz val="10"/>
        <rFont val="Noto Sans CJK SC"/>
        <family val="2"/>
      </rPr>
      <t xml:space="preserve">마음은 급한데 일이 뜻대로 나가지 않아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</si>
  <si>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속도를 늦추고 힘을 한 곳에 모으기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</si>
  <si>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움직이고 싶은데 제동이 걸리는 느낌이라 답답함이나 짜증이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이때 다진 끈기는 서두르지 않고 끝까지 해내는 힘으로 남아요</t>
    </r>
    <r>
      <rPr>
        <sz val="10"/>
        <rFont val="맑은 고딕"/>
        <family val="0"/>
        <charset val="1"/>
      </rPr>
      <t xml:space="preserve">.</t>
    </r>
  </si>
  <si>
    <t xml:space="preserve">끈기</t>
  </si>
  <si>
    <t xml:space="preserve">TR_SATURN_MARS_HARM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</si>
  <si>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</si>
  <si>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책임의 별이 행동의 별을 받쳐 주는 각도 — 힘을 오래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효율적으로 쓰게 해요</t>
    </r>
  </si>
  <si>
    <r>
      <rPr>
        <sz val="10"/>
        <rFont val="Noto Sans CJK SC"/>
        <family val="2"/>
      </rPr>
      <t xml:space="preserve">체계적으로 움직이며 오래 걸리던 일을 마무리했을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</si>
  <si>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긴 호흡이 필요한 일을 계획대로 밀고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</si>
  <si>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낭비하지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계획한 만큼 꾸준히 움직이기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일이든 운동이든 매일 조금씩 하는 방식이 눈에 띄는 결과로 쌓이기 좋은 때예요</t>
    </r>
    <r>
      <rPr>
        <sz val="10"/>
        <rFont val="맑은 고딕"/>
        <family val="0"/>
        <charset val="1"/>
      </rPr>
      <t xml:space="preserve">.</t>
    </r>
  </si>
  <si>
    <t xml:space="preserve">꾸준한 실행</t>
  </si>
  <si>
    <t xml:space="preserve">TR_SATURN_MARS_TENSE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</si>
  <si>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</si>
  <si>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책임의 별이 행동의 별과 긴장하는 각도 — 막히는 일 앞에서 화가 쌓이기 쉬워요</t>
  </si>
  <si>
    <r>
      <rPr>
        <sz val="10"/>
        <rFont val="Noto Sans CJK SC"/>
        <family val="2"/>
      </rPr>
      <t xml:space="preserve">벽에 부딪히는 일이 잦아 화가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힘이 빠졌던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</si>
  <si>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날 때 바로 맞서기보다 방법을 바꿔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</si>
  <si>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노력해도 막히는 느낌이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답답함이 화나 무기력으로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힘을 쓰는 방법을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무리하지 않고도 앞으로 가는 요령이 생깁니다</t>
    </r>
    <r>
      <rPr>
        <sz val="10"/>
        <rFont val="맑은 고딕"/>
        <family val="0"/>
        <charset val="1"/>
      </rPr>
      <t xml:space="preserve">.</t>
    </r>
  </si>
  <si>
    <t xml:space="preserve">힘의 방향</t>
  </si>
  <si>
    <t xml:space="preserve">TR_SATURN_ASC_CONJ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</si>
  <si>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</si>
  <si>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책임의 별이 나를 드러내는 자리에 겹치는 때 — 나 자신을 새로 세우는 무게를 느껴요</t>
  </si>
  <si>
    <r>
      <rPr>
        <sz val="10"/>
        <rFont val="Noto Sans CJK SC"/>
        <family val="2"/>
      </rPr>
      <t xml:space="preserve">한결 진지하고 어른스러워지면서 스스로에게 엄격해졌을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</si>
  <si>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어떤 사람으로 세울지 차분히 정해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</si>
  <si>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들이대기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오래가는 새로운 나의 기반이 돼요</t>
    </r>
    <r>
      <rPr>
        <sz val="10"/>
        <rFont val="맑은 고딕"/>
        <family val="0"/>
        <charset val="1"/>
      </rPr>
      <t xml:space="preserve">.</t>
    </r>
  </si>
  <si>
    <t xml:space="preserve">나를 세우기</t>
  </si>
  <si>
    <t xml:space="preserve">TR_SATURN_ASC_HARM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</si>
  <si>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</si>
  <si>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책임의 별이 첫인상의 자리를 받쳐 주는 각도 — 믿음직한 사람으로 비치게 해요</t>
  </si>
  <si>
    <r>
      <rPr>
        <sz val="10"/>
        <rFont val="Noto Sans CJK SC"/>
        <family val="2"/>
      </rPr>
      <t xml:space="preserve">주변에서 믿고 맡기는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차분한 사람으로 보였을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</si>
  <si>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루틴을 다지고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</si>
  <si>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첫인상의 자리를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행동이 안정돼 보여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믿고 기대기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잠과 식사 같은 생활 리듬을 정해 두기에도 잘 맞는 시기입니다</t>
    </r>
    <r>
      <rPr>
        <sz val="10"/>
        <rFont val="맑은 고딕"/>
        <family val="0"/>
        <charset val="1"/>
      </rPr>
      <t xml:space="preserve">.</t>
    </r>
  </si>
  <si>
    <t xml:space="preserve">믿음직함</t>
  </si>
  <si>
    <t xml:space="preserve">TR_SATURN_ASC_TENSE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</si>
  <si>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</si>
  <si>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책임의 별이 첫인상의 자리와 긴장하는 각도 — 주변의 기대가 나를 누르는 느낌이 들어요</t>
  </si>
  <si>
    <r>
      <rPr>
        <sz val="10"/>
        <rFont val="Noto Sans CJK SC"/>
        <family val="2"/>
      </rPr>
      <t xml:space="preserve">주변의 기대와 요구에 맞추느라 내 모습이 작게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</si>
  <si>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기대와 내 기준을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</si>
  <si>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관계나 일에서 오는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나답게 움직일 여지가 줄어든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어디까지 맞추고 어디서 선을 그을지 알게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선이 나를 단단하게 지켜 줍니다</t>
    </r>
    <r>
      <rPr>
        <sz val="10"/>
        <rFont val="맑은 고딕"/>
        <family val="0"/>
        <charset val="1"/>
      </rPr>
      <t xml:space="preserve">.</t>
    </r>
  </si>
  <si>
    <t xml:space="preserve">나의 선</t>
  </si>
  <si>
    <t xml:space="preserve">TR_SATURN_MC_CONJ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</si>
  <si>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</si>
  <si>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책임의 별이 커리어의 꼭대기에 겹치는 자리 — 일에서 시험과 결실이 함께 와요</t>
  </si>
  <si>
    <r>
      <rPr>
        <sz val="10"/>
        <rFont val="Noto Sans CJK SC"/>
        <family val="2"/>
      </rPr>
      <t xml:space="preserve">일에서 책임이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평가받는 무거운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</si>
  <si>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커리어의 방향을 현실적으로 다시 설계하기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</si>
  <si>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책임을 맡거나 그동안의 결과를 평가받는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성실히 쌓아 온 부분은 이때 분명한 자리로 굳어질 수 있어요</t>
    </r>
    <r>
      <rPr>
        <sz val="10"/>
        <rFont val="맑은 고딕"/>
        <family val="0"/>
        <charset val="1"/>
      </rPr>
      <t xml:space="preserve">.</t>
    </r>
  </si>
  <si>
    <t xml:space="preserve">커리어 점검</t>
  </si>
  <si>
    <t xml:space="preserve">시험과 결실이 함께 오는 합이라 ‘역풍’이 과하면 ‘중립’ 검토</t>
  </si>
  <si>
    <t xml:space="preserve">TR_SATURN_MC_HARM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</si>
  <si>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</si>
  <si>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책임의 별이 커리어 방향을 받쳐 주는 각도 — 성실함이 평판으로 쌓여요</t>
  </si>
  <si>
    <r>
      <rPr>
        <sz val="10"/>
        <rFont val="Noto Sans CJK SC"/>
        <family val="2"/>
      </rPr>
      <t xml:space="preserve">꾸준히 해 온 일이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기반이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</si>
  <si>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</si>
  <si>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성실하게 해 온 일이 믿을 만한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조직이나 윗사람의 신뢰를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자격이나 경력처럼 시간이 필요한 목표를 구체적으로 세워 보기 좋아요</t>
    </r>
    <r>
      <rPr>
        <sz val="10"/>
        <rFont val="맑은 고딕"/>
        <family val="0"/>
        <charset val="1"/>
      </rPr>
      <t xml:space="preserve">.</t>
    </r>
  </si>
  <si>
    <t xml:space="preserve">평판</t>
  </si>
  <si>
    <t xml:space="preserve">TR_SATURN_MC_TENSE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</si>
  <si>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</si>
  <si>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책임의 별이 커리어 방향과 긴장하는 각도 — 일의 압박과 지연을 실감해요</t>
  </si>
  <si>
    <r>
      <rPr>
        <sz val="10"/>
        <rFont val="Noto Sans CJK SC"/>
        <family val="2"/>
      </rPr>
      <t xml:space="preserve">일이 생각보다 늦어지거나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사이에서 압박이 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</si>
  <si>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성과보다 기반을 점검하며 버티기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</si>
  <si>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늦게 나오거나 조직의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모두 빠듯하게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일하는 방식과 우선순위를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기회가 왔을 때 흔들리지 않는 바탕이 됩니다</t>
    </r>
    <r>
      <rPr>
        <sz val="10"/>
        <rFont val="맑은 고딕"/>
        <family val="0"/>
        <charset val="1"/>
      </rPr>
      <t xml:space="preserve">.</t>
    </r>
  </si>
  <si>
    <t xml:space="preserve">일의 바탕</t>
  </si>
  <si>
    <t xml:space="preserve">TR_SATURN_RETURN</t>
  </si>
  <si>
    <t xml:space="preserve">리턴</t>
  </si>
  <si>
    <t xml:space="preserve">토성 리턴</t>
  </si>
  <si>
    <t xml:space="preserve">책임의 별이 태어날 때의 자리로 돌아와요 — 삶의 구조를 다시 점검하게 해요</t>
  </si>
  <si>
    <r>
      <rPr>
        <sz val="10"/>
        <rFont val="Noto Sans CJK SC"/>
        <family val="2"/>
      </rPr>
      <t xml:space="preserve">무엇을 책임지고 살지 묻는 질문 앞에서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뼈대를 다시 세운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</si>
  <si>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계속 지고 갈 책임과 내려놓을 짐을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</si>
  <si>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오래가는 뼈대가 돼요</t>
    </r>
    <r>
      <rPr>
        <sz val="10"/>
        <rFont val="맑은 고딕"/>
        <family val="0"/>
        <charset val="1"/>
      </rPr>
      <t xml:space="preserve">.</t>
    </r>
  </si>
  <si>
    <t xml:space="preserve">삶의 뼈대</t>
  </si>
  <si>
    <r>
      <rPr>
        <sz val="10"/>
        <rFont val="Noto Sans CJK SC"/>
        <family val="2"/>
      </rPr>
      <t xml:space="preserve">토성 리턴은 일생에 두세 번 오므로 나이 표현을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리턴이면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연결 문장에서 ‘서른 무렵’ 맥락 추가 가능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무게와 성숙이 함께 오는 시기라 </t>
    </r>
    <r>
      <rPr>
        <sz val="10"/>
        <rFont val="맑은 고딕"/>
        <family val="0"/>
        <charset val="1"/>
      </rPr>
      <t xml:space="preserve">tone ‘</t>
    </r>
    <r>
      <rPr>
        <sz val="10"/>
        <rFont val="Noto Sans CJK SC"/>
        <family val="2"/>
      </rPr>
      <t xml:space="preserve">역풍’ </t>
    </r>
    <r>
      <rPr>
        <sz val="10"/>
        <rFont val="맑은 고딕"/>
        <family val="0"/>
        <charset val="1"/>
      </rPr>
      <t xml:space="preserve">vs ‘</t>
    </r>
    <r>
      <rPr>
        <sz val="10"/>
        <rFont val="Noto Sans CJK SC"/>
        <family val="2"/>
      </rPr>
      <t xml:space="preserve">중립’ 검토 부탁</t>
    </r>
  </si>
  <si>
    <t xml:space="preserve">TR_URANUS_SUN_CONJ</t>
  </si>
  <si>
    <t xml:space="preserve">천왕성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</si>
  <si>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</si>
  <si>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변화의 별이 나의 중심과 겹치는 때 — 익숙한 나를 벗어나고 싶어져요</t>
  </si>
  <si>
    <r>
      <rPr>
        <sz val="10"/>
        <rFont val="Noto Sans CJK SC"/>
        <family val="2"/>
      </rPr>
      <t xml:space="preserve">내가 원하는 삶이 갑자기 선명해지거나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모습이 답답하게 느껴졌을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</si>
  <si>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‘나다운 선택’을 작게 시험해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</si>
  <si>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 자리에 겹치면 지금까지와 다른 모습을 꺼내 보고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낯선 분야에 끌리거나 뜻밖의 제안이 들어올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모든 걸 바꾸기보다 작은 실험부터 해 보면 흔들림이 새로운 나로 이어지기 쉽습니다</t>
    </r>
    <r>
      <rPr>
        <sz val="10"/>
        <rFont val="맑은 고딕"/>
        <family val="0"/>
        <charset val="1"/>
      </rPr>
      <t xml:space="preserve">.</t>
    </r>
  </si>
  <si>
    <t xml:space="preserve">움직임</t>
  </si>
  <si>
    <t xml:space="preserve">나다운 전환</t>
  </si>
  <si>
    <t xml:space="preserve">TR_URANUS_SUN_HARM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</si>
  <si>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</si>
  <si>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변화의 별이 나의 중심을 자연스럽게 돕는 각도 — 새 시도가 부드럽게 열려요</t>
  </si>
  <si>
    <r>
      <rPr>
        <sz val="10"/>
        <rFont val="Noto Sans CJK SC"/>
        <family val="2"/>
      </rPr>
      <t xml:space="preserve">새로운 일이나 사람을 통해 나를 조금 더 자유롭게 표현할 기회가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</si>
  <si>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틀 밖에서 들어오는 기회를 가볍게 잡아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</si>
  <si>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나의 중심을 비추면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소란 없이도 삶에 새바람이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모임이나 다른 방식의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취미가 뜻밖에 잘 맞을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일이 있다면 부담이 적은 크기로 먼저 시작해 보세요</t>
    </r>
    <r>
      <rPr>
        <sz val="10"/>
        <rFont val="맑은 고딕"/>
        <family val="0"/>
        <charset val="1"/>
      </rPr>
      <t xml:space="preserve">.</t>
    </r>
  </si>
  <si>
    <t xml:space="preserve">새바람</t>
  </si>
  <si>
    <t xml:space="preserve">TR_URANUS_SUN_TENSE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</si>
  <si>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</si>
  <si>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변화의 별이 나의 중심에 긴장을 거는 각도 — 지금의 역할이 맞는지 묻게 해요</t>
  </si>
  <si>
    <r>
      <rPr>
        <sz val="10"/>
        <rFont val="Noto Sans CJK SC"/>
        <family val="2"/>
      </rPr>
      <t xml:space="preserve">지금의 자리나 역할이 갑자기 좁게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벗어나고 싶은 마음이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</si>
  <si>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충동과 진짜 바람을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것을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</si>
  <si>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중심과 긴장하는 각도를 이루면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</si>
  <si>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t xml:space="preserve">자리 재점검</t>
  </si>
  <si>
    <t xml:space="preserve">TR_URANUS_MOON_CONJ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</si>
  <si>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</si>
  <si>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변화의 별이 감정의 자리와 겹치는 때 — 마음이 기대던 기준이 바뀌어요</t>
  </si>
  <si>
    <r>
      <rPr>
        <sz val="10"/>
        <rFont val="Noto Sans CJK SC"/>
        <family val="2"/>
      </rPr>
      <t xml:space="preserve">집이나 생활 환경처럼 마음이 기대던 곳에 예상 밖의 변화가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</si>
  <si>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생활 리듬 속에서 나만의 안정 기준을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</si>
  <si>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겹치면 마음이 쉽게 들뜨거나 갑자기 가라앉는 등 기복이 커질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생활 방식의 변화처럼 마음의 기반이 움직이는 일도 이 흐름과 함께 오곤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변화 속에서도 매일 지키는 작은 루틴 하나가 마음의 닻이 되어 줍니다</t>
    </r>
    <r>
      <rPr>
        <sz val="10"/>
        <rFont val="맑은 고딕"/>
        <family val="0"/>
        <charset val="1"/>
      </rPr>
      <t xml:space="preserve">.</t>
    </r>
  </si>
  <si>
    <t xml:space="preserve">안정 재설정</t>
  </si>
  <si>
    <t xml:space="preserve">TR_URANUS_MOON_HARM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</si>
  <si>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</si>
  <si>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변화의 별이 감정을 부드럽게 깨우는 각도 — 마음에 숨 쉴 틈이 생겨요</t>
  </si>
  <si>
    <r>
      <rPr>
        <sz val="10"/>
        <rFont val="Noto Sans CJK SC"/>
        <family val="2"/>
      </rPr>
      <t xml:space="preserve">답답하던 감정에 숨통이 트이거나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공간에서 마음이 가벼워진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</si>
  <si>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공간이나 습관을 조금 바꿔 마음에 새 공기를 넣기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</si>
  <si>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묵은 감정이 자연스럽게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 배치를 바꾸거나 낯선 동네를 걸어 보는 작은 변화가 의외로 큰 환기가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편해지는 새 방법을 발견하기 좋은 때입니다</t>
    </r>
    <r>
      <rPr>
        <sz val="10"/>
        <rFont val="맑은 고딕"/>
        <family val="0"/>
        <charset val="1"/>
      </rPr>
      <t xml:space="preserve">.</t>
    </r>
  </si>
  <si>
    <t xml:space="preserve">마음 환기</t>
  </si>
  <si>
    <t xml:space="preserve">TR_URANUS_MOON_TENSE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</si>
  <si>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</si>
  <si>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변화의 별이 마음의 자리에 긴장을 거는 각도 — 익숙한 안정이 잠시 흔들려요</t>
  </si>
  <si>
    <r>
      <rPr>
        <sz val="10"/>
        <rFont val="Noto Sans CJK SC"/>
        <family val="2"/>
      </rPr>
      <t xml:space="preserve">집이나 가까운 관계처럼 마음이 쉬던 자리가 한동안 흔들렸을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</si>
  <si>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흔들리는 동안에도 돌아올 곳을 하나씩 만들어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</si>
  <si>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긴장하는 각도를 이루면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</si>
  <si>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t xml:space="preserve">흔들리는 기반</t>
  </si>
  <si>
    <t xml:space="preserve">TR_URANUS_MERCURY_CONJ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</si>
  <si>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</si>
  <si>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변화의 별이 생각의 별과 겹치는 때 — 번뜩이는 아이디어가 쏟아져요</t>
  </si>
  <si>
    <r>
      <rPr>
        <sz val="10"/>
        <rFont val="Noto Sans CJK SC"/>
        <family val="2"/>
      </rPr>
      <t xml:space="preserve">생각지 못한 아이디어나 소식이 연달아 들어와 머릿속이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</si>
  <si>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기술을 받아들이며 생각의 틀을 넓히는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</si>
  <si>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별에 겹치면 머리가 빨라지고 낯선 생각이 잘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공부나 다른 분야의 정보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연락이 생각의 방향을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생각은 바로 말하기보다 메모로 모아 두면 쓸 만한 것이 더 잘 보입니다</t>
    </r>
    <r>
      <rPr>
        <sz val="10"/>
        <rFont val="맑은 고딕"/>
        <family val="0"/>
        <charset val="1"/>
      </rPr>
      <t xml:space="preserve">.</t>
    </r>
  </si>
  <si>
    <t xml:space="preserve">번뜩임</t>
  </si>
  <si>
    <t xml:space="preserve">TR_URANUS_MERCURY_HARM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</si>
  <si>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</si>
  <si>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변화의 별이 생각을 돕는 각도 — 막힌 문제에 새로운 해법이 보여요</t>
  </si>
  <si>
    <r>
      <rPr>
        <sz val="10"/>
        <rFont val="Noto Sans CJK SC"/>
        <family val="2"/>
      </rPr>
      <t xml:space="preserve">막혀 있던 고민에 생각지 못한 답이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반가운 소식을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</si>
  <si>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도구나 배움으로 일하는 방식을 가볍게 바꿔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</si>
  <si>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문제도 다른 방향에서 보는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사람과의 대화나 짧은 강의가 실마리를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안 쓰던 도구나 방식을 한 번 시도해 볼 만한 때입니다</t>
    </r>
    <r>
      <rPr>
        <sz val="10"/>
        <rFont val="맑은 고딕"/>
        <family val="0"/>
        <charset val="1"/>
      </rPr>
      <t xml:space="preserve">.</t>
    </r>
  </si>
  <si>
    <t xml:space="preserve">새 해법</t>
  </si>
  <si>
    <t xml:space="preserve">TR_URANUS_MERCURY_TENSE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</si>
  <si>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</si>
  <si>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변화의 별이 말과 생각에 긴장을 거는 각도 — 생각이 앞서 달리기 쉬워요</t>
  </si>
  <si>
    <r>
      <rPr>
        <sz val="10"/>
        <rFont val="Noto Sans CJK SC"/>
        <family val="2"/>
      </rPr>
      <t xml:space="preserve">계획이 갑자기 바뀌거나 말이 엇갈려 정신없이 지나간 날들이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</si>
  <si>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결론보다 한 번 더 확인하며 생각을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</si>
  <si>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생각의 별과 긴장하는 각도를 이루면 머릿속이 어수선해지고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</si>
  <si>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t xml:space="preserve">생각 과속</t>
  </si>
  <si>
    <t xml:space="preserve">TR_URANUS_VENUS_CONJ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</si>
  <si>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</si>
  <si>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변화의 별이 좋아하는 것의 별과 겹치는 때 — 끌리는 것이 달라져요</t>
  </si>
  <si>
    <r>
      <rPr>
        <sz val="10"/>
        <rFont val="Noto Sans CJK SC"/>
        <family val="2"/>
      </rPr>
      <t xml:space="preserve">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보는 기준이 생각보다 빠르게 바뀌었을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</si>
  <si>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취향과 관계 방식을 열린 마음으로 탐색해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</si>
  <si>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</si>
  <si>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t xml:space="preserve">취향 전환</t>
  </si>
  <si>
    <r>
      <rPr>
        <sz val="10"/>
        <rFont val="Noto Sans CJK SC"/>
        <family val="2"/>
      </rPr>
      <t xml:space="preserve">관계 변화를 언급하되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권유로 읽히지 않게 ‘서둘러 바꾸기보다’로 완화함 — 확인 요망</t>
    </r>
  </si>
  <si>
    <t xml:space="preserve">TR_URANUS_VENUS_HARM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</si>
  <si>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</si>
  <si>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변화의 별이 관계와 즐거움을 돕는 각도 — 신선한 즐거움이 들어와요</t>
  </si>
  <si>
    <r>
      <rPr>
        <sz val="10"/>
        <rFont val="Noto Sans CJK SC"/>
        <family val="2"/>
      </rPr>
      <t xml:space="preserve">새로운 사람이나 취미에서 생각지 못한 즐거움을 발견했을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</si>
  <si>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관계에 새로운 활동을 더해 활력을 찾기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</si>
  <si>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</si>
  <si>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t xml:space="preserve">신선한 즐거움</t>
  </si>
  <si>
    <t xml:space="preserve">TR_URANUS_VENUS_TENSE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</si>
  <si>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</si>
  <si>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변화의 별이 관계와 가치에 긴장을 거는 각도 — 원하는 거리가 바뀌어요</t>
  </si>
  <si>
    <r>
      <rPr>
        <sz val="10"/>
        <rFont val="Noto Sans CJK SC"/>
        <family val="2"/>
      </rPr>
      <t xml:space="preserve">관계나 씀씀이에서 ‘이게 정말 내가 원하는 걸까’ 하는 물음이 불쑥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</si>
  <si>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내가 진짜 원하는 거리와 균형을 찾아보는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</si>
  <si>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긴장하는 각도를 이루면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</si>
  <si>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t xml:space="preserve">가치 재조정</t>
  </si>
  <si>
    <t xml:space="preserve">TR_URANUS_MARS_CONJ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</si>
  <si>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</si>
  <si>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변화의 별이 행동의 별과 겹치는 때 — 당장 움직이고 싶은 힘이 솟아요</t>
  </si>
  <si>
    <r>
      <rPr>
        <sz val="10"/>
        <rFont val="Noto Sans CJK SC"/>
        <family val="2"/>
      </rPr>
      <t xml:space="preserve">갑자기 무언가를 시작하거나 그만두고 싶은 강한 충동이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</si>
  <si>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솟아오르는 추진력을 새로운 도전 한 가지에 모아 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</si>
  <si>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</si>
  <si>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t xml:space="preserve">돌파 에너지</t>
  </si>
  <si>
    <t xml:space="preserve">TR_URANUS_MARS_HARM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</si>
  <si>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</si>
  <si>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변화의 별이 의욕을 돕는 각도 — 과감한 시도가 잘 풀려요</t>
  </si>
  <si>
    <r>
      <rPr>
        <sz val="10"/>
        <rFont val="Noto Sans CJK SC"/>
        <family val="2"/>
      </rPr>
      <t xml:space="preserve">평소라면 망설였을 일에 과감히 뛰어들었고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잘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</si>
  <si>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방식으로 움직여 보는 용기가 결과로 이어지기 쉬운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</si>
  <si>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</si>
  <si>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t xml:space="preserve">과감한 시도</t>
  </si>
  <si>
    <t xml:space="preserve">TR_URANUS_MARS_TENSE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</si>
  <si>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</si>
  <si>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변화의 별이 행동에 긴장을 거는 각도 — 조급함과 부딪힘이 늘어요</t>
  </si>
  <si>
    <r>
      <rPr>
        <sz val="10"/>
        <rFont val="Noto Sans CJK SC"/>
        <family val="2"/>
      </rPr>
      <t xml:space="preserve">참을성이 바닥나 들이받고 싶거나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계획을 뒤엎고 싶었던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</si>
  <si>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움직이고 싶을 때 한 박자 쉬고 방향을 확인하는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</si>
  <si>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긴장하는 각도를 이루면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들뜬 기운을 가라앉히고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</si>
  <si>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t xml:space="preserve">조급함</t>
  </si>
  <si>
    <t xml:space="preserve">TR_URANUS_ASC_CONJ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</si>
  <si>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</si>
  <si>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변화의 별이 나를 드러내는 자리와 겹치는 때 — 보이는 내 모습이 바뀌어요</t>
  </si>
  <si>
    <r>
      <rPr>
        <sz val="10"/>
        <rFont val="Noto Sans CJK SC"/>
        <family val="2"/>
      </rPr>
      <t xml:space="preserve">스타일이나 말투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대하는 방식이 이전과 달라지기 시작했을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</si>
  <si>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나의 모습을 부담 없이 실험해 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</si>
  <si>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모습을 따라가 보는 편이 좋습니다</t>
    </r>
    <r>
      <rPr>
        <sz val="10"/>
        <rFont val="맑은 고딕"/>
        <family val="0"/>
        <charset val="1"/>
      </rPr>
      <t xml:space="preserve">.</t>
    </r>
  </si>
  <si>
    <t xml:space="preserve">새 얼굴</t>
  </si>
  <si>
    <t xml:space="preserve">TR_URANUS_ASC_HARM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</si>
  <si>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</si>
  <si>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변화의 별이 나를 드러내는 방식을 돕는 각도 — 새 모습이 자연스러워요</t>
  </si>
  <si>
    <r>
      <rPr>
        <sz val="10"/>
        <rFont val="Noto Sans CJK SC"/>
        <family val="2"/>
      </rPr>
      <t xml:space="preserve">새로운 자리에서 평소와 다른 모습을 보여 줬는데 반응이 좋았을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</si>
  <si>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환경에서 나를 소개할 기회를 반갑게 맞기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</si>
  <si>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</si>
  <si>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t xml:space="preserve">가벼운 변신</t>
  </si>
  <si>
    <t xml:space="preserve">TR_URANUS_ASC_TENSE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</si>
  <si>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</si>
  <si>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변화의 별이 나를 드러내는 자리에 긴장을 거는 각도 — 지금의 내가 어색해져요</t>
  </si>
  <si>
    <r>
      <rPr>
        <sz val="10"/>
        <rFont val="Noto Sans CJK SC"/>
        <family val="2"/>
      </rPr>
      <t xml:space="preserve">익숙한 내 모습이 어색하게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주변의 시선이 갑자기 신경 쓰였을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</si>
  <si>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기대하는 나와 내가 원하는 나 사이의 거리를 좁혀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</si>
  <si>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자리와 긴장하는 각도를 이루면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</si>
  <si>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t xml:space="preserve">어색한 옷</t>
  </si>
  <si>
    <t xml:space="preserve">TR_URANUS_MC_CONJ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</si>
  <si>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</si>
  <si>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변화의 별이 커리어 자리와 겹치는 때 — 일의 방향에 새 길이 열려요</t>
  </si>
  <si>
    <r>
      <rPr>
        <sz val="10"/>
        <rFont val="Noto Sans CJK SC"/>
        <family val="2"/>
      </rPr>
      <t xml:space="preserve">일에서 예상 못 한 제안이나 역할 변화가 들어왔을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</si>
  <si>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분야나 일하는 방식을 진지하게 검토해 볼 만한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</si>
  <si>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그것이 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</si>
  <si>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t xml:space="preserve">커리어 전환점</t>
  </si>
  <si>
    <t xml:space="preserve">TR_URANUS_MC_HARM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</si>
  <si>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</si>
  <si>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변화의 별이 커리어를 돕는 각도 — 새로운 역할이 순조롭게 열려요</t>
  </si>
  <si>
    <r>
      <rPr>
        <sz val="10"/>
        <rFont val="Noto Sans CJK SC"/>
        <family val="2"/>
      </rPr>
      <t xml:space="preserve">일에서 새 프로젝트나 다른 역할을 맡을 기회가 자연스럽게 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</si>
  <si>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역할이나 일하는 방식을 먼저 제안해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</si>
  <si>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</si>
  <si>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t xml:space="preserve">새 역할</t>
  </si>
  <si>
    <t xml:space="preserve">TR_URANUS_MC_TENSE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</si>
  <si>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</si>
  <si>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변화의 별이 커리어 방향에 긴장을 거는 각도 — 지금의 길을 다시 묻게 해요</t>
  </si>
  <si>
    <r>
      <rPr>
        <sz val="10"/>
        <rFont val="Noto Sans CJK SC"/>
        <family val="2"/>
      </rPr>
      <t xml:space="preserve">일의 방향이 흔들리거나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일을 계속해도 될지 고민이 커졌을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</si>
  <si>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 바꾸기보다 원하는 일의 모습을 구체적으로 그려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</si>
  <si>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자리와 긴장하는 각도를 이루면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</si>
  <si>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t xml:space="preserve">길 다시 묻기</t>
  </si>
  <si>
    <t xml:space="preserve">TR_NEPTUNE_SUN_CONJ</t>
  </si>
  <si>
    <t xml:space="preserve">해왕성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</si>
  <si>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</si>
  <si>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꿈의 별이 나의 중심과 겹치는 때 — 나다움의 윤곽이 잠시 흐려져요</t>
  </si>
  <si>
    <r>
      <rPr>
        <sz val="10"/>
        <rFont val="Noto Sans CJK SC"/>
        <family val="2"/>
      </rPr>
      <t xml:space="preserve">내가 무엇을 원하는지 잘 모르겠다는 느낌이 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 곳을 향했을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</si>
  <si>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정답을 서두르지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끌리는 것을 천천히 따라가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</si>
  <si>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중심에 겹치면 목표가 안개 속에 있는 것처럼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자신감도 들쭉날쭉하기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예술이나 돌봄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일처럼 마음 깊이 끌리는 것이 선명해지기도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큰 결론을 내리기보다 끌리는 것을 기록하며 나를 다시 알아 가는 시기입니다</t>
    </r>
    <r>
      <rPr>
        <sz val="10"/>
        <rFont val="맑은 고딕"/>
        <family val="0"/>
        <charset val="1"/>
      </rPr>
      <t xml:space="preserve">.</t>
    </r>
  </si>
  <si>
    <t xml:space="preserve">안개 속 나</t>
  </si>
  <si>
    <t xml:space="preserve">TR_NEPTUNE_SUN_HARM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</si>
  <si>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</si>
  <si>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영감의 별이 나의 중심을 돕는 각도 — 감수성이 힘이 돼요</t>
  </si>
  <si>
    <r>
      <rPr>
        <sz val="10"/>
        <rFont val="Noto Sans CJK SC"/>
        <family val="2"/>
      </rPr>
      <t xml:space="preserve">음악이나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이야기에 유난히 마음이 움직였을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</si>
  <si>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상상력과 공감 능력을 일상과 창작에 써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</si>
  <si>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감수성과 직관이 평소보다 섬세해집니다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만들거나 누군가를 돕는 일에서 보람을 크게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이미지나 문장을 그때그때 남겨 두면 좋은 재료가 됩니다</t>
    </r>
    <r>
      <rPr>
        <sz val="10"/>
        <rFont val="맑은 고딕"/>
        <family val="0"/>
        <charset val="1"/>
      </rPr>
      <t xml:space="preserve">.</t>
    </r>
  </si>
  <si>
    <t xml:space="preserve">섬세한 직관</t>
  </si>
  <si>
    <t xml:space="preserve">TR_NEPTUNE_SUN_TENSE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</si>
  <si>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</si>
  <si>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흐릿함의 별이 나의 중심과 긴장하는 각도 — 방향 감각이 잠시 흐려져요</t>
  </si>
  <si>
    <r>
      <rPr>
        <sz val="10"/>
        <rFont val="Noto Sans CJK SC"/>
        <family val="2"/>
      </rPr>
      <t xml:space="preserve">열심히 하는데도 방향을 잃은 듯 막막하거나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기대가 어긋나 실망했을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</si>
  <si>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 사이에서 지킬 수 있는 목표를 다시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</si>
  <si>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긴장하는 각도를 이루면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</si>
  <si>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방향 안개</t>
  </si>
  <si>
    <t xml:space="preserve">TR_NEPTUNE_MOON_CONJ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</si>
  <si>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</si>
  <si>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꿈의 별이 감정의 자리와 겹치는 때 — 마음의 경계가 얇아져요</t>
  </si>
  <si>
    <r>
      <rPr>
        <sz val="10"/>
        <rFont val="Noto Sans CJK SC"/>
        <family val="2"/>
      </rPr>
      <t xml:space="preserve">다른 사람의 감정이 내 것처럼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 모를 그리움이 찾아왔을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</si>
  <si>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공감하는 마음을 아끼되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지키는 쉼의 경계를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</si>
  <si>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감정의 별과 겹치면 마음이 스펀지처럼 주변 분위기를 흡수하기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위로의 힘이 커지는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감정과 남의 감정이 섞여 지치기도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조용히 있는 시간을 정해 두면 마음의 물결을 다시 고르게 할 수 있습니다</t>
    </r>
    <r>
      <rPr>
        <sz val="10"/>
        <rFont val="맑은 고딕"/>
        <family val="0"/>
        <charset val="1"/>
      </rPr>
      <t xml:space="preserve">.</t>
    </r>
  </si>
  <si>
    <t xml:space="preserve">얇아진 경계</t>
  </si>
  <si>
    <t xml:space="preserve">TR_NEPTUNE_MOON_HARM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</si>
  <si>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</si>
  <si>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영감의 별이 감정을 돕는 각도 — 굳은 마음이 부드럽게 풀려요</t>
  </si>
  <si>
    <r>
      <rPr>
        <sz val="10"/>
        <rFont val="Noto Sans CJK SC"/>
        <family val="2"/>
      </rPr>
      <t xml:space="preserve">편안한 공간이나 사람 곁에서 오래 묵은 마음이 스르르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</si>
  <si>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쉼처럼 마음을 적셔 주는 시간을 넉넉히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</si>
  <si>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굳어 있던 마음이 조용히 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바다를 보거나 좋아하는 음악을 듣는 평범한 순간이 큰 위로로 다가와요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꿈과 상상에 마음을 기대도 괜찮은 시기입니다</t>
    </r>
    <r>
      <rPr>
        <sz val="10"/>
        <rFont val="맑은 고딕"/>
        <family val="0"/>
        <charset val="1"/>
      </rPr>
      <t xml:space="preserve">.</t>
    </r>
  </si>
  <si>
    <t xml:space="preserve">부드러운 위로</t>
  </si>
  <si>
    <t xml:space="preserve">TR_NEPTUNE_MOON_TENSE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</si>
  <si>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</si>
  <si>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흐릿함의 별이 마음의 자리와 긴장하는 각도 — 감정의 이유가 잘 안 보여요</t>
  </si>
  <si>
    <r>
      <rPr>
        <sz val="10"/>
        <rFont val="Noto Sans CJK SC"/>
        <family val="2"/>
      </rPr>
      <t xml:space="preserve">까닭 없이 마음이 가라앉거나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기대던 사람과의 사이가 애매하게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</si>
  <si>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흐릿한 감정에 이름을 붙이며 마음의 바닥을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</si>
  <si>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긴장하는 각도를 이루면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</si>
  <si>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t xml:space="preserve">감정 안개</t>
  </si>
  <si>
    <t xml:space="preserve">‘마음이 가라앉거나’가 우울 암시로 읽히지 않는지 확인 요망</t>
  </si>
  <si>
    <t xml:space="preserve">TR_NEPTUNE_MERCURY_CONJ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</si>
  <si>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</si>
  <si>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꿈의 별이 생각의 별과 겹치는 때 — 논리보다 상상이 앞서요</t>
  </si>
  <si>
    <r>
      <rPr>
        <sz val="10"/>
        <rFont val="Noto Sans CJK SC"/>
        <family val="2"/>
      </rPr>
      <t xml:space="preserve">상상력은 풍부했지만 집중이 잘 안 되거나 깜빡하는 일이 늘었을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</si>
  <si>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상상력은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같은 표현으로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중요한 일은 기록으로 붙잡는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</si>
  <si>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생각의 별과 겹치면 말과 글에 감성이 묻어나고 이야기를 만드는 힘이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세부 사항을 놓치거나 말이 모호하게 전달되기도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창작에는 마음껏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약속이나 계약처럼 정확해야 하는 일은 꼭 기록으로 남겨 두세요</t>
    </r>
    <r>
      <rPr>
        <sz val="10"/>
        <rFont val="맑은 고딕"/>
        <family val="0"/>
        <charset val="1"/>
      </rPr>
      <t xml:space="preserve">.</t>
    </r>
  </si>
  <si>
    <t xml:space="preserve">상상하는 머리</t>
  </si>
  <si>
    <t xml:space="preserve">TR_NEPTUNE_MERCURY_HARM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</si>
  <si>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</si>
  <si>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영감의 별이 생각을 돕는 각도 — 말에 따뜻한 설득력이 생겨요</t>
  </si>
  <si>
    <r>
      <rPr>
        <sz val="10"/>
        <rFont val="Noto Sans CJK SC"/>
        <family val="2"/>
      </rPr>
      <t xml:space="preserve">마음을 담은 말이나 글이 누군가에게 잘 닿았던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</si>
  <si>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글쓰기와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깊은 대화로 생각을 펼치기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</si>
  <si>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직관과 논리가 자연스럽게 손을 잡습니다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공감이 실려 어려운 이야기도 부드럽게 전해지기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일기나 짧은 글로 생각을 풀어 보면 뜻밖의 영감을 얻을 수 있는 때입니다</t>
    </r>
    <r>
      <rPr>
        <sz val="10"/>
        <rFont val="맑은 고딕"/>
        <family val="0"/>
        <charset val="1"/>
      </rPr>
      <t xml:space="preserve">.</t>
    </r>
  </si>
  <si>
    <t xml:space="preserve">공감의 말</t>
  </si>
  <si>
    <t xml:space="preserve">TR_NEPTUNE_MERCURY_TENSE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</si>
  <si>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</si>
  <si>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흐릿함의 별이 말과 생각에 긴장을 거는 각도 — 오해가 생기기 쉬워요</t>
  </si>
  <si>
    <r>
      <rPr>
        <sz val="10"/>
        <rFont val="Noto Sans CJK SC"/>
        <family val="2"/>
      </rPr>
      <t xml:space="preserve">말이 엇갈리거나 정보가 흐릿해서 판단이 어려웠던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</si>
  <si>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정보는 두 번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애매한 말은 바로 묻는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</si>
  <si>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긴장하는 각도를 이루면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</si>
  <si>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t xml:space="preserve">흐릿한 신호</t>
  </si>
  <si>
    <t xml:space="preserve">TR_NEPTUNE_VENUS_CONJ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</si>
  <si>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</si>
  <si>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꿈의 별이 좋아하는 것의 별과 겹치는 때 — 아름다움과 이상에 끌려요</t>
  </si>
  <si>
    <r>
      <rPr>
        <sz val="10"/>
        <rFont val="Noto Sans CJK SC"/>
        <family val="2"/>
      </rPr>
      <t xml:space="preserve">어떤 사람이나 대상에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</si>
  <si>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현실을 함께 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것에 마음을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</si>
  <si>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좋아하는 것의 별과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</si>
  <si>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t xml:space="preserve">낭만의 렌즈</t>
  </si>
  <si>
    <t xml:space="preserve">TR_NEPTUNE_VENUS_HARM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</si>
  <si>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</si>
  <si>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영감의 별이 관계와 즐거움을 돕는 각도 — 다정함이 자연스럽게 흘러요</t>
  </si>
  <si>
    <r>
      <rPr>
        <sz val="10"/>
        <rFont val="Noto Sans CJK SC"/>
        <family val="2"/>
      </rPr>
      <t xml:space="preserve">작은 친절이나 아름다운 것에서 큰 기쁨을 느꼈을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</si>
  <si>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다정한 관계에서 기쁨을 넓혀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</si>
  <si>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</si>
  <si>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t xml:space="preserve">다정한 흐름</t>
  </si>
  <si>
    <t xml:space="preserve">TR_NEPTUNE_VENUS_TENSE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</si>
  <si>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</si>
  <si>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흐릿함의 별이 관계와 가치에 긴장을 거는 각도 — 기대와 현실이 어긋나요</t>
  </si>
  <si>
    <r>
      <rPr>
        <sz val="10"/>
        <rFont val="Noto Sans CJK SC"/>
        <family val="2"/>
      </rPr>
      <t xml:space="preserve">기대했던 관계나 선택이 생각과 달라 실망하거나 혼란스러웠을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</si>
  <si>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씀씀이에서 바라는 것을 분명한 말로 정리해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</si>
  <si>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좋아하는 것의 별과 긴장하는 각도를 이루면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돈이 새어 나가거나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돈의 기준이 모두 선명해집니다</t>
    </r>
    <r>
      <rPr>
        <sz val="10"/>
        <rFont val="맑은 고딕"/>
        <family val="0"/>
        <charset val="1"/>
      </rPr>
      <t xml:space="preserve">.</t>
    </r>
  </si>
  <si>
    <t xml:space="preserve">어긋난 기대</t>
  </si>
  <si>
    <t xml:space="preserve">TR_NEPTUNE_MARS_CONJ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</si>
  <si>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</si>
  <si>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흐릿함의 별이 행동의 별과 겹치는 때 — 의욕의 방향이 흐려져요</t>
  </si>
  <si>
    <r>
      <rPr>
        <sz val="10"/>
        <rFont val="Noto Sans CJK SC"/>
        <family val="2"/>
      </rPr>
      <t xml:space="preserve">열심히 하고 싶은데 힘이 잘 안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위해 뛰는지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</si>
  <si>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목표를 다시 의미와 연결하며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리듬을 함께 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</si>
  <si>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중요한 일 하나에 힘을 모아 보세요</t>
    </r>
    <r>
      <rPr>
        <sz val="10"/>
        <rFont val="맑은 고딕"/>
        <family val="0"/>
        <charset val="1"/>
      </rPr>
      <t xml:space="preserve">.</t>
    </r>
  </si>
  <si>
    <t xml:space="preserve">흐려진 의욕</t>
  </si>
  <si>
    <r>
      <rPr>
        <sz val="10"/>
        <rFont val="Noto Sans CJK SC"/>
        <family val="2"/>
      </rPr>
      <t xml:space="preserve">피로 표현은 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 수준으로만 썼음 — 몸 이야기 경계 확인 요망</t>
    </r>
  </si>
  <si>
    <t xml:space="preserve">TR_NEPTUNE_MARS_HARM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</si>
  <si>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</si>
  <si>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영감의 별이 행동을 돕는 각도 — 마음이 가는 일에 힘이 실려요</t>
  </si>
  <si>
    <r>
      <rPr>
        <sz val="10"/>
        <rFont val="Noto Sans CJK SC"/>
        <family val="2"/>
      </rPr>
      <t xml:space="preserve">의미를 느끼는 일에는 지치지 않고 몰입했던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</si>
  <si>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창작이나 봉사처럼 마음이 움직이는 일에 에너지를 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</si>
  <si>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</si>
  <si>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t xml:space="preserve">흐르는 몰입</t>
  </si>
  <si>
    <t xml:space="preserve">TR_NEPTUNE_MARS_TENSE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</si>
  <si>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</si>
  <si>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흐릿함의 별이 행동에 긴장을 거는 각도 — 힘이 자꾸 빠지는 느낌이 들어요</t>
  </si>
  <si>
    <r>
      <rPr>
        <sz val="10"/>
        <rFont val="Noto Sans CJK SC"/>
        <family val="2"/>
      </rPr>
      <t xml:space="preserve">애써도 결과가 잘 안 보여 맥이 빠지거나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자꾸 미뤄졌을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</si>
  <si>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에너지를 쓰는 곳을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할 일부터 다시 세우는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</si>
  <si>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긴장하는 각도를 이루면 노력이 어디로 흩어지는지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</si>
  <si>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t xml:space="preserve">흩어지는 기운</t>
  </si>
  <si>
    <t xml:space="preserve">TR_NEPTUNE_ASC_CONJ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</si>
  <si>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</si>
  <si>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꿈의 별이 나를 드러내는 자리와 겹치는 때 — 분위기가 부드럽게 바뀌어요</t>
  </si>
  <si>
    <r>
      <rPr>
        <sz val="10"/>
        <rFont val="Noto Sans CJK SC"/>
        <family val="2"/>
      </rPr>
      <t xml:space="preserve">주변에서 분위기가 달라졌다는 말을 듣거나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어떻게 보여야 할지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</si>
  <si>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꾸미지 않은 부드러운 모습을 나의 새 매력으로 받아들이는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</si>
  <si>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나를 드러내는 자리에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</si>
  <si>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t xml:space="preserve">부드러운 인상</t>
  </si>
  <si>
    <t xml:space="preserve">TR_NEPTUNE_ASC_HARM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</si>
  <si>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</si>
  <si>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영감의 별이 나를 드러내는 방식을 돕는 각도 — 따뜻한 인상이 전해져요</t>
  </si>
  <si>
    <r>
      <rPr>
        <sz val="10"/>
        <rFont val="Noto Sans CJK SC"/>
        <family val="2"/>
      </rPr>
      <t xml:space="preserve">처음 만난 사람에게도 편안하고 다정한 사람으로 다가갔을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</si>
  <si>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 능력을 살려 사람들 사이에서 편안한 자리를 만드는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</si>
  <si>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</si>
  <si>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t xml:space="preserve">편안한 존재감</t>
  </si>
  <si>
    <t xml:space="preserve">TR_NEPTUNE_ASC_TENSE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</si>
  <si>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</si>
  <si>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흐릿함의 별이 나를 드러내는 자리와 긴장하는 각도 — 내 윤곽이 흔들려요</t>
  </si>
  <si>
    <r>
      <rPr>
        <sz val="10"/>
        <rFont val="Noto Sans CJK SC"/>
        <family val="2"/>
      </rPr>
      <t xml:space="preserve">남의 기대에 맞추다 진짜 내 모습을 잃은 것 같은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</si>
  <si>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거절할 것과 받아들일 것을 정하며 나의 선을 다시 긋는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</si>
  <si>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나를 드러내는 자리와 긴장하는 각도를 이루면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</si>
  <si>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t xml:space="preserve">흐려진 윤곽</t>
  </si>
  <si>
    <t xml:space="preserve">TR_NEPTUNE_MC_CONJ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</si>
  <si>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</si>
  <si>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꿈의 별이 커리어 자리와 겹치는 때 — 일에서 의미를 찾고 싶어져요</t>
  </si>
  <si>
    <r>
      <rPr>
        <sz val="10"/>
        <rFont val="Noto Sans CJK SC"/>
        <family val="2"/>
      </rPr>
      <t xml:space="preserve">일에서 돈이나 성과보다 의미를 찾고 싶다는 마음이 커졌을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</si>
  <si>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이상에 가까운 일을 현실적인 작은 걸음으로 옮겨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</si>
  <si>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커리어의 자리에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</si>
  <si>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t xml:space="preserve">일의 의미</t>
  </si>
  <si>
    <t xml:space="preserve">TR_NEPTUNE_MC_HARM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</si>
  <si>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</si>
  <si>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영감의 별이 커리어를 돕는 각도 — 감각과 공감이 일의 강점이 돼요</t>
  </si>
  <si>
    <r>
      <rPr>
        <sz val="10"/>
        <rFont val="Noto Sans CJK SC"/>
        <family val="2"/>
      </rPr>
      <t xml:space="preserve">일에서 직관이나 배려가 빛을 발해 좋은 평을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</si>
  <si>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창의적인 기획이나 사람을 돕는 역할에 도전해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</si>
  <si>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</si>
  <si>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t xml:space="preserve">감각의 무기</t>
  </si>
  <si>
    <t xml:space="preserve">TR_NEPTUNE_MC_TENSE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</si>
  <si>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</si>
  <si>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흐릿함의 별이 커리어 방향과 긴장하는 각도 — 목표가 안개에 싸여요</t>
  </si>
  <si>
    <r>
      <rPr>
        <sz val="10"/>
        <rFont val="Noto Sans CJK SC"/>
        <family val="2"/>
      </rPr>
      <t xml:space="preserve">일의 목표나 평가 기준이 불분명해서 무엇을 향해 가는지 헷갈렸을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</si>
  <si>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불분명한 일일수록 역할과 기대를 글로 확인해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</si>
  <si>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커리어의 자리와 긴장하는 각도를 이루면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</si>
  <si>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t xml:space="preserve">안개 낀 목표</t>
  </si>
  <si>
    <t xml:space="preserve">TR_PLUTO_SUN_CONJ</t>
  </si>
  <si>
    <t xml:space="preserve">명왕성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</si>
  <si>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</si>
  <si>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재탄생의 별이 나의 중심과 겹치는 때 — 나를 뿌리부터 다시 빚어요</t>
  </si>
  <si>
    <r>
      <rPr>
        <sz val="10"/>
        <rFont val="Noto Sans CJK SC"/>
        <family val="2"/>
      </rPr>
      <t xml:space="preserve">나라는 사람의 바탕이 흔들릴 만큼 깊은 변화를 지나고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</si>
  <si>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낡은 나를 내려놓고 더 단단한 나로 다시 서는 긴 과정의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</si>
  <si>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중심에 겹치면 겉모습보다 훨씬 깊은 곳에서 나를 바꾸는 흐름이 시작됩니다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더는 맞지 않는 역할이나 습관이 자연스럽게 떨어져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숨어 있던 힘이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느리고 강한 흐름이라 서두르기보다 무엇을 놓아줄지 천천히 고르는 편이 좋습니다</t>
    </r>
    <r>
      <rPr>
        <sz val="10"/>
        <rFont val="맑은 고딕"/>
        <family val="0"/>
        <charset val="1"/>
      </rPr>
      <t xml:space="preserve">.</t>
    </r>
  </si>
  <si>
    <t xml:space="preserve">근본 재탄생</t>
  </si>
  <si>
    <t xml:space="preserve">TR_PLUTO_SUN_HARM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</si>
  <si>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</si>
  <si>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재탄생의 별이 나의 중심을 돕는 각도 — 내 안의 힘이 단단해져요</t>
  </si>
  <si>
    <r>
      <rPr>
        <sz val="10"/>
        <rFont val="Noto Sans CJK SC"/>
        <family val="2"/>
      </rPr>
      <t xml:space="preserve">어려운 일을 해내며 스스로도 몰랐던 힘을 확인했을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</si>
  <si>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집중해 나만의 영향력을 키워 가기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</si>
  <si>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품어 온 목표를 끝까지 밀고 갈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요란하지 않아도 안에서부터 자신감이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깊게 파고들거나 오래된 습관을 바꾸기에 좋은 때입니다</t>
    </r>
    <r>
      <rPr>
        <sz val="10"/>
        <rFont val="맑은 고딕"/>
        <family val="0"/>
        <charset val="1"/>
      </rPr>
      <t xml:space="preserve">.</t>
    </r>
  </si>
  <si>
    <t xml:space="preserve">내면의 힘</t>
  </si>
  <si>
    <t xml:space="preserve">TR_PLUTO_SUN_TENSE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</si>
  <si>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</si>
  <si>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재탄생의 별이 나의 중심과 긴장하는 각도 — 버텨 온 방식을 내려놓게 해요</t>
  </si>
  <si>
    <r>
      <rPr>
        <sz val="10"/>
        <rFont val="Noto Sans CJK SC"/>
        <family val="2"/>
      </rPr>
      <t xml:space="preserve">통제할 수 없는 상황 앞에서 내가 지켜 온 방식을 내려놓아야 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</si>
  <si>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힘겨루기보다 놓아줄 것을 고르며 새로운 힘을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</si>
  <si>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중심과 긴장하는 각도를 이루면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남기도 합니다</t>
    </r>
    <r>
      <rPr>
        <sz val="10"/>
        <rFont val="맑은 고딕"/>
        <family val="0"/>
        <charset val="1"/>
      </rPr>
      <t xml:space="preserve">.</t>
    </r>
  </si>
  <si>
    <t xml:space="preserve">놓아주기</t>
  </si>
  <si>
    <t xml:space="preserve">TR_PLUTO_MOON_CONJ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</si>
  <si>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</si>
  <si>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재탄생의 별이 감정의 자리와 겹치는 때 — 마음 깊은 곳이 움직여요</t>
  </si>
  <si>
    <r>
      <rPr>
        <sz val="10"/>
        <rFont val="Noto Sans CJK SC"/>
        <family val="2"/>
      </rPr>
      <t xml:space="preserve">오래 묻어 둔 감정이 올라와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유난히 깊고 무거웠을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</si>
  <si>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묵은 감정을 꺼내 정리하며 마음의 바닥을 새로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</si>
  <si>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별에 겹치면 잊었다고 생각한 감정이 수면 위로 올라오기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관계에서의 감정도 평소보다 강하게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감정을 글로 적거나 믿을 만한 사람과 나누다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무겁던 마음이 조금씩 가벼워집니다</t>
    </r>
    <r>
      <rPr>
        <sz val="10"/>
        <rFont val="맑은 고딕"/>
        <family val="0"/>
        <charset val="1"/>
      </rPr>
      <t xml:space="preserve">.</t>
    </r>
  </si>
  <si>
    <t xml:space="preserve">깊은 감정</t>
  </si>
  <si>
    <t xml:space="preserve">TR_PLUTO_MOON_HARM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</si>
  <si>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</si>
  <si>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재탄생의 별이 감정을 돕는 각도 — 마음이 깊어지고 단단해져요</t>
  </si>
  <si>
    <r>
      <rPr>
        <sz val="10"/>
        <rFont val="Noto Sans CJK SC"/>
        <family val="2"/>
      </rPr>
      <t xml:space="preserve">가까운 사람과 깊은 속마음을 나누며 신뢰가 단단해졌을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</si>
  <si>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진심 어린 대화로 마음의 뿌리를 튼튼히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</si>
  <si>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피하지 않고 들여다볼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마음의 짐을 조용히 정리하거나 깊은 유대를 만들기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털어놓는 대화 한 번이 생각보다 큰 회복이 될 수 있는 때입니다</t>
    </r>
    <r>
      <rPr>
        <sz val="10"/>
        <rFont val="맑은 고딕"/>
        <family val="0"/>
        <charset val="1"/>
      </rPr>
      <t xml:space="preserve">.</t>
    </r>
  </si>
  <si>
    <t xml:space="preserve">깊어지는 신뢰</t>
  </si>
  <si>
    <t xml:space="preserve">TR_PLUTO_MOON_TENSE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</si>
  <si>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</si>
  <si>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재탄생의 별이 마음의 자리와 긴장하는 각도 — 감정의 파도가 커져요</t>
  </si>
  <si>
    <r>
      <rPr>
        <sz val="10"/>
        <rFont val="Noto Sans CJK SC"/>
        <family val="2"/>
      </rPr>
      <t xml:space="preserve">가까운 관계나 집안일에서 감정이 크게 요동치는 시간을 지났을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</si>
  <si>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강한 감정을 억누르기보다 안전하게 흘려보낼 방법을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</si>
  <si>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별과 긴장하는 각도를 이루면 가까운 사람을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</si>
  <si>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t xml:space="preserve">감정의 파도</t>
  </si>
  <si>
    <t xml:space="preserve">TR_PLUTO_MERCURY_CONJ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</si>
  <si>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</si>
  <si>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재탄생의 별이 생각의 별과 겹치는 때 — 생각이 깊고 날카로워져요</t>
  </si>
  <si>
    <r>
      <rPr>
        <sz val="10"/>
        <rFont val="Noto Sans CJK SC"/>
        <family val="2"/>
      </rPr>
      <t xml:space="preserve">한 가지 생각에 깊이 파고들거나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진실을 알고 싶은 마음이 강했을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</si>
  <si>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공부와 탐구로 생각의 바탕을 바꿔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</si>
  <si>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별에 겹치면 겉으로 드러난 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</si>
  <si>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t xml:space="preserve">깊이 파기</t>
  </si>
  <si>
    <t xml:space="preserve">TR_PLUTO_MERCURY_HARM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</si>
  <si>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</si>
  <si>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재탄생의 별이 생각을 돕는 각도 — 말에 무게와 설득력이 실려요</t>
  </si>
  <si>
    <r>
      <rPr>
        <sz val="10"/>
        <rFont val="Noto Sans CJK SC"/>
        <family val="2"/>
      </rPr>
      <t xml:space="preserve">핵심을 짚는 말 한마디로 상황을 바꾼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</si>
  <si>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있는 공부나 중요한 대화를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</si>
  <si>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문제의 핵심을 꿰뚫는 통찰이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글에 힘이 실려 설득이나 협상에서 좋은 결과를 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두었던 중요한 대화를 꺼내 보기 좋은 때입니다</t>
    </r>
    <r>
      <rPr>
        <sz val="10"/>
        <rFont val="맑은 고딕"/>
        <family val="0"/>
        <charset val="1"/>
      </rPr>
      <t xml:space="preserve">.</t>
    </r>
  </si>
  <si>
    <t xml:space="preserve">핵심 통찰</t>
  </si>
  <si>
    <t xml:space="preserve">TR_PLUTO_MERCURY_TENSE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</si>
  <si>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</si>
  <si>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재탄생의 별이 말과 생각에 긴장을 거는 각도 — 말이 무겁게 부딪혀요</t>
  </si>
  <si>
    <r>
      <rPr>
        <sz val="10"/>
        <rFont val="Noto Sans CJK SC"/>
        <family val="2"/>
      </rPr>
      <t xml:space="preserve">날 선 말이 오가거나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한쪽으로 깊이 빠져 답답했던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</si>
  <si>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이기려는 대화보다 이해하려는 대화를 연습하는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</si>
  <si>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긴장하는 각도를 이루면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</si>
  <si>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t xml:space="preserve">말의 힘겨루기</t>
  </si>
  <si>
    <t xml:space="preserve">TR_PLUTO_VENUS_CONJ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</si>
  <si>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</si>
  <si>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재탄생의 별이 좋아하는 것의 별과 겹치는 때 — 관계와 가치가 깊이 바뀌어요</t>
  </si>
  <si>
    <r>
      <rPr>
        <sz val="10"/>
        <rFont val="Noto Sans CJK SC"/>
        <family val="2"/>
      </rPr>
      <t xml:space="preserve">관계나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것에 대한 감정이 전보다 훨씬 강하고 깊었을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</si>
  <si>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정말 소중한 것만 남기며 관계와 가치의 기준을 새로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</si>
  <si>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</si>
  <si>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t xml:space="preserve">가치의 재탄생</t>
  </si>
  <si>
    <t xml:space="preserve">TR_PLUTO_VENUS_HARM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</si>
  <si>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</si>
  <si>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재탄생의 별이 관계와 가치를 돕는 각도 — 깊은 유대가 자라요</t>
  </si>
  <si>
    <r>
      <rPr>
        <sz val="10"/>
        <rFont val="Noto Sans CJK SC"/>
        <family val="2"/>
      </rPr>
      <t xml:space="preserve">몇몇 사람과의 관계가 한층 깊고 믿음직해졌을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</si>
  <si>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넓이보다 깊이를 택해 소중한 관계와 취향을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</si>
  <si>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</si>
  <si>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t xml:space="preserve">깊은 유대</t>
  </si>
  <si>
    <t xml:space="preserve">TR_PLUTO_VENUS_TENSE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</si>
  <si>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</si>
  <si>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재탄생의 별이 관계와 가치에 긴장을 거는 각도 — 붙잡음과 놓음 사이에 서요</t>
  </si>
  <si>
    <r>
      <rPr>
        <sz val="10"/>
        <rFont val="Noto Sans CJK SC"/>
        <family val="2"/>
      </rPr>
      <t xml:space="preserve">관계나 돈 문제에서 놓기 어려운 마음과 정리하고 싶은 마음이 부딪혔을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</si>
  <si>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붙잡을 것과 흘려보낼 것을 정직하게 바라보는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</si>
  <si>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별과 긴장하는 각도를 이루면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</si>
  <si>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t xml:space="preserve">붙잡음과 놓음</t>
  </si>
  <si>
    <t xml:space="preserve">‘정리하고 싶은 마음’이 이별 암시로 읽히지 않는지 확인 요망</t>
  </si>
  <si>
    <t xml:space="preserve">TR_PLUTO_MARS_CONJ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</si>
  <si>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</si>
  <si>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재탄생의 별이 행동의 별과 겹치는 때 — 강한 의지가 깨어나요</t>
  </si>
  <si>
    <r>
      <rPr>
        <sz val="10"/>
        <rFont val="Noto Sans CJK SC"/>
        <family val="2"/>
      </rPr>
      <t xml:space="preserve">무언가를 끝까지 해내고 싶은 강한 의지로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</si>
  <si>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강해진 의지를 오래 갈 목표 하나에 깊이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</si>
  <si>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</si>
  <si>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t xml:space="preserve">집념</t>
  </si>
  <si>
    <t xml:space="preserve">TR_PLUTO_MARS_HARM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</si>
  <si>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</si>
  <si>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재탄생의 별이 행동을 돕는 각도 — 끈기와 회복력이 붙어요</t>
  </si>
  <si>
    <r>
      <rPr>
        <sz val="10"/>
        <rFont val="Noto Sans CJK SC"/>
        <family val="2"/>
      </rPr>
      <t xml:space="preserve">포기하고 싶던 일을 끝까지 버텨 결과를 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</si>
  <si>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걸리는 도전이나 습관 바꾸기를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</si>
  <si>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나눠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</si>
  <si>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t xml:space="preserve">TR_PLUTO_MARS_TENSE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</si>
  <si>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</si>
  <si>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재탄생의 별이 행동에 긴장을 거는 각도 — 힘과 힘이 부딪쳐요</t>
  </si>
  <si>
    <r>
      <rPr>
        <sz val="10"/>
        <rFont val="Noto Sans CJK SC"/>
        <family val="2"/>
      </rPr>
      <t xml:space="preserve">누군가와 주도권을 두고 부딪히거나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화를 삼키느라 힘들었을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</si>
  <si>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부딪히는 에너지를 바꾸고 싶은 일 하나에 돌려 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</si>
  <si>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별과 긴장하는 각도를 이루면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</si>
  <si>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t xml:space="preserve">주도권 갈등</t>
  </si>
  <si>
    <t xml:space="preserve">TR_PLUTO_ASC_CONJ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</si>
  <si>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</si>
  <si>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재탄생의 별이 나를 드러내는 자리와 겹치는 때 — 존재감이 깊어져요</t>
  </si>
  <si>
    <r>
      <rPr>
        <sz val="10"/>
        <rFont val="Noto Sans CJK SC"/>
        <family val="2"/>
      </rPr>
      <t xml:space="preserve">겉모습이나 사람을 대하는 태도가 이전과 확연히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</si>
  <si>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보여 주고 싶은 나를 깊이 고민하며 새 모습으로 거듭나는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</si>
  <si>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</si>
  <si>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t xml:space="preserve">탈피</t>
  </si>
  <si>
    <t xml:space="preserve">TR_PLUTO_ASC_HARM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</si>
  <si>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</si>
  <si>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재탄생의 별이 나를 드러내는 방식을 돕는 각도 — 깊은 신뢰감을 줘요</t>
  </si>
  <si>
    <r>
      <rPr>
        <sz val="10"/>
        <rFont val="Noto Sans CJK SC"/>
        <family val="2"/>
      </rPr>
      <t xml:space="preserve">말수가 적어도 믿음직한 사람으로 보여 중요한 일을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</si>
  <si>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영향력을 차분히 키우며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</si>
  <si>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</si>
  <si>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묵직한 신뢰</t>
  </si>
  <si>
    <t xml:space="preserve">TR_PLUTO_ASC_TENSE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</si>
  <si>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</si>
  <si>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재탄생의 별이 나를 드러내는 자리와 긴장하는 각도 — 맞지 않는 가면을 벗게 해요</t>
  </si>
  <si>
    <r>
      <rPr>
        <sz val="10"/>
        <rFont val="Noto Sans CJK SC"/>
        <family val="2"/>
      </rPr>
      <t xml:space="preserve">익숙한 모습으로는 더 버티기 어렵다고 느낀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</si>
  <si>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위한 모습 대신 진짜 나로 서는 연습을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</si>
  <si>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자리와 긴장하는 각도를 이루면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흐트러질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</si>
  <si>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t xml:space="preserve">가면 벗기</t>
  </si>
  <si>
    <t xml:space="preserve">TR_PLUTO_MC_CONJ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</si>
  <si>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</si>
  <si>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재탄생의 별이 커리어 자리와 겹치는 때 — 일의 판이 크게 바뀌어요</t>
  </si>
  <si>
    <r>
      <rPr>
        <sz val="10"/>
        <rFont val="Noto Sans CJK SC"/>
        <family val="2"/>
      </rPr>
      <t xml:space="preserve">일에서 한 단계가 끝나고 전혀 다른 단계가 시작되는 전환을 지났을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</si>
  <si>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사회에서 맡고 싶은 역할을 근본부터 다시 그려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</si>
  <si>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자리에 겹치면 일이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</si>
  <si>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t xml:space="preserve">커리어 재편</t>
  </si>
  <si>
    <t xml:space="preserve">TR_PLUTO_MC_HARM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</si>
  <si>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</si>
  <si>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재탄생의 별이 커리어를 돕는 각도 — 영향력이 단단히 자라요</t>
  </si>
  <si>
    <r>
      <rPr>
        <sz val="10"/>
        <rFont val="Noto Sans CJK SC"/>
        <family val="2"/>
      </rPr>
      <t xml:space="preserve">일에서 실력을 인정받아 더 큰 권한이나 책임을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</si>
  <si>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전문성을 깊게 다지며 영향력을 키우기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</si>
  <si>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</si>
  <si>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t xml:space="preserve">영향력</t>
  </si>
  <si>
    <t xml:space="preserve">TR_PLUTO_MC_TENSE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</si>
  <si>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</si>
  <si>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재탄생의 별이 커리어 방향과 긴장하는 각도 — 일의 구조가 흔들려요</t>
  </si>
  <si>
    <r>
      <rPr>
        <sz val="10"/>
        <rFont val="Noto Sans CJK SC"/>
        <family val="2"/>
      </rPr>
      <t xml:space="preserve">조직의 변화나 윗사람과의 긴장 속에서 내 자리를 다시 생각했을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</si>
  <si>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힘의 흐름을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지킬 일의 가치를 분명히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</si>
  <si>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자리와 긴장하는 각도를 이루면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</si>
  <si>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t xml:space="preserve">힘의 재배치</t>
  </si>
  <si>
    <t xml:space="preserve">행성</t>
  </si>
  <si>
    <t xml:space="preserve">하우스</t>
  </si>
  <si>
    <t xml:space="preserve">하우스 이름</t>
  </si>
  <si>
    <t xml:space="preserve">한 해 키워드</t>
  </si>
  <si>
    <r>
      <rPr>
        <b val="true"/>
        <sz val="10"/>
        <color rgb="FFFDF6E9"/>
        <rFont val="Noto Sans CJK SC"/>
        <family val="2"/>
      </rPr>
      <t xml:space="preserve">다른 표현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테마 겹칠 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</si>
  <si>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표 셀 한 문장</t>
  </si>
  <si>
    <r>
      <rPr>
        <b val="true"/>
        <sz val="10"/>
        <color rgb="FFFDF6E9"/>
        <rFont val="Noto Sans CJK SC"/>
        <family val="2"/>
      </rPr>
      <t xml:space="preserve">기회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남는 것</t>
    </r>
  </si>
  <si>
    <r>
      <rPr>
        <b val="true"/>
        <sz val="10"/>
        <color rgb="FFFDF6E9"/>
        <rFont val="Noto Sans CJK SC"/>
        <family val="2"/>
      </rPr>
      <t xml:space="preserve">주의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무게 다루는 법</t>
    </r>
  </si>
  <si>
    <t xml:space="preserve">JUP_H01</t>
  </si>
  <si>
    <t xml:space="preserve">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</si>
  <si>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 자신</t>
    </r>
  </si>
  <si>
    <t xml:space="preserve">나를 넓히는 해</t>
  </si>
  <si>
    <r>
      <rPr>
        <sz val="10"/>
        <rFont val="Noto Sans CJK SC"/>
        <family val="2"/>
      </rPr>
      <t xml:space="preserve">내 모습이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나를 드러내기 좋은 해</t>
    </r>
  </si>
  <si>
    <r>
      <rPr>
        <sz val="10"/>
        <rFont val="Noto Sans CJK SC"/>
        <family val="2"/>
      </rPr>
      <t xml:space="preserve">나를 드러낼 기회가 늘고 자신감이 자라기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</si>
  <si>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</si>
  <si>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소개할 자리가 오면 미루지 말고 한 번 나서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</si>
  <si>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들뜬 기분에 약속과 일을 한꺼번에 늘리기 쉬우니 하나씩 받는 편이 좋습니다</t>
    </r>
    <r>
      <rPr>
        <sz val="10"/>
        <rFont val="맑은 고딕"/>
        <family val="0"/>
        <charset val="1"/>
      </rPr>
      <t xml:space="preserve">.</t>
    </r>
  </si>
  <si>
    <t xml:space="preserve">JUP_H02</t>
  </si>
  <si>
    <t xml:space="preserve">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</si>
  <si>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</si>
  <si>
    <t xml:space="preserve">내 가치를 키우는 해</t>
  </si>
  <si>
    <r>
      <rPr>
        <sz val="10"/>
        <rFont val="Noto Sans CJK SC"/>
        <family val="2"/>
      </rPr>
      <t xml:space="preserve">내 것이 자라는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 줄 아는 힘이 커지는 해</t>
    </r>
  </si>
  <si>
    <r>
      <rPr>
        <sz val="10"/>
        <rFont val="Noto Sans CJK SC"/>
        <family val="2"/>
      </rPr>
      <t xml:space="preserve">내가 잘하는 것의 값어치를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</si>
  <si>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답을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내 재주의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</si>
  <si>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가진 기술을 필요로 하는 곳이 보이면 가볍게 제안해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</si>
  <si>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여유가 느껴질수록 지출도 커지기 쉬우니 큰 구매는 한 번 더 따져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</si>
  <si>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수입이 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단정은 피하고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쓰임새 중심으로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 수위 확인 부탁</t>
    </r>
    <r>
      <rPr>
        <sz val="10"/>
        <rFont val="맑은 고딕"/>
        <family val="0"/>
        <charset val="1"/>
      </rPr>
      <t xml:space="preserve">.</t>
    </r>
  </si>
  <si>
    <t xml:space="preserve">JUP_H03</t>
  </si>
  <si>
    <t xml:space="preserve">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</si>
  <si>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</si>
  <si>
    <t xml:space="preserve">배우고 말하는 해</t>
  </si>
  <si>
    <r>
      <rPr>
        <sz val="10"/>
        <rFont val="Noto Sans CJK SC"/>
        <family val="2"/>
      </rPr>
      <t xml:space="preserve">배움이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가까운 대화가 힘이 되는 해</t>
    </r>
  </si>
  <si>
    <r>
      <rPr>
        <sz val="10"/>
        <rFont val="Noto Sans CJK SC"/>
        <family val="2"/>
      </rPr>
      <t xml:space="preserve">짧은 배움과 가까운 대화가 힘이 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</si>
  <si>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동네를 오가거나 가까운 곳에 다니며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</si>
  <si>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가는 짧은 수업이나 모임이 보이면 한 번 들어가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</si>
  <si>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이것저것 동시에 시작하기 쉬우니 끝까지 해 볼 한 가지를 먼저 정해 두세요</t>
    </r>
    <r>
      <rPr>
        <sz val="10"/>
        <rFont val="맑은 고딕"/>
        <family val="0"/>
        <charset val="1"/>
      </rPr>
      <t xml:space="preserve">.</t>
    </r>
  </si>
  <si>
    <t xml:space="preserve">JUP_H04</t>
  </si>
  <si>
    <t xml:space="preserve">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</si>
  <si>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</t>
    </r>
  </si>
  <si>
    <t xml:space="preserve">뿌리를 넓히는 해</t>
  </si>
  <si>
    <r>
      <rPr>
        <sz val="10"/>
        <rFont val="Noto Sans CJK SC"/>
        <family val="2"/>
      </rPr>
      <t xml:space="preserve">집과 마음이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자리가 커지는 해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</si>
  <si>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둘 곳이 넓어지기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</si>
  <si>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손보는 일이나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</si>
  <si>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편히 쉬는 공간을 한 곳 정해 정성껏 가꿔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</si>
  <si>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큰 결정은 기분보다 현실 조건을 먼저 확인한 뒤 움직이는 편이 좋습니다</t>
    </r>
    <r>
      <rPr>
        <sz val="10"/>
        <rFont val="맑은 고딕"/>
        <family val="0"/>
        <charset val="1"/>
      </rPr>
      <t xml:space="preserve">.</t>
    </r>
  </si>
  <si>
    <t xml:space="preserve">JUP_H05</t>
  </si>
  <si>
    <t xml:space="preserve">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</si>
  <si>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</si>
  <si>
    <t xml:space="preserve">즐거움이 돌아오는 해</t>
  </si>
  <si>
    <r>
      <rPr>
        <sz val="10"/>
        <rFont val="Noto Sans CJK SC"/>
        <family val="2"/>
      </rPr>
      <t xml:space="preserve">좋아하는 일이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마음껏 즐겨 보는 해</t>
    </r>
  </si>
  <si>
    <r>
      <rPr>
        <sz val="10"/>
        <rFont val="Noto Sans CJK SC"/>
        <family val="2"/>
      </rPr>
      <t xml:space="preserve">좋아하는 것을 다시 즐기고 만들기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</si>
  <si>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창작의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취미나 만들고 싶던 것을 시작하기에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설레는 일이 늘어나는 만큼 나를 웃게 하는 것이 무엇인지 알아보기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</si>
  <si>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취미 하나를 이번에는 직접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</si>
  <si>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재미에 빠져 쉬는 시간까지 다 쓰지 않도록 즐거움에도 끝나는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</si>
  <si>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하우스는 연애의 자리이기도 하지만 만남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썼음</t>
    </r>
    <r>
      <rPr>
        <sz val="10"/>
        <rFont val="맑은 고딕"/>
        <family val="0"/>
        <charset val="1"/>
      </rPr>
      <t xml:space="preserve">.</t>
    </r>
  </si>
  <si>
    <t xml:space="preserve">JUP_H06</t>
  </si>
  <si>
    <t xml:space="preserve">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</si>
  <si>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</si>
  <si>
    <t xml:space="preserve">일상을 가꾸는 해</t>
  </si>
  <si>
    <r>
      <rPr>
        <sz val="10"/>
        <rFont val="Noto Sans CJK SC"/>
        <family val="2"/>
      </rPr>
      <t xml:space="preserve">하루가 단단해지는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몸과 일의 리듬이 좋아지는 해</t>
    </r>
  </si>
  <si>
    <r>
      <rPr>
        <sz val="10"/>
        <rFont val="Noto Sans CJK SC"/>
        <family val="2"/>
      </rPr>
      <t xml:space="preserve">매일의 일과 루틴이 한결 수월해지기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</si>
  <si>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손보거나 새 루틴을 들이기에 힘이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하루의 리듬을 바꾸는 장면을 만날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</si>
  <si>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덜어 줄 도구나 방법이 보이면 미루지 말고 바로 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</si>
  <si>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수 있다는 마음에 업무를 너무 많이 받기 쉬우니 거절할 몫도 남겨 두세요</t>
    </r>
    <r>
      <rPr>
        <sz val="10"/>
        <rFont val="맑은 고딕"/>
        <family val="0"/>
        <charset val="1"/>
      </rPr>
      <t xml:space="preserve">.</t>
    </r>
  </si>
  <si>
    <t xml:space="preserve">JUP_H07</t>
  </si>
  <si>
    <t xml:space="preserve">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</si>
  <si>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일대일 관계</t>
    </r>
  </si>
  <si>
    <t xml:space="preserve">함께 넓어지는 해</t>
  </si>
  <si>
    <r>
      <rPr>
        <sz val="10"/>
        <rFont val="Noto Sans CJK SC"/>
        <family val="2"/>
      </rPr>
      <t xml:space="preserve">곁의 사람과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짝을 만나는 해</t>
    </r>
  </si>
  <si>
    <r>
      <rPr>
        <sz val="10"/>
        <rFont val="Noto Sans CJK SC"/>
        <family val="2"/>
      </rPr>
      <t xml:space="preserve">좋은 동료나 파트너가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</si>
  <si>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일할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믿고 의논할 사람이 곁에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하던 일을 둘이 나누면서 길이 넓어지는 장면이 찾아오기도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</si>
  <si>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함께하자는 제안이 오면 조건을 살펴보고 가볍게 대화를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</si>
  <si>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상대에게 맞추느라 내 몫의 약속까지 늘리지 않도록 할 수 있는 만큼만 약속하세요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</si>
  <si>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만남 예측으로 읽히지 않도록 동료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공통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</si>
  <si>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JUP_H08</t>
  </si>
  <si>
    <t xml:space="preserve">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</si>
  <si>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 자원</t>
    </r>
  </si>
  <si>
    <t xml:space="preserve">깊이 나누는 해</t>
  </si>
  <si>
    <r>
      <rPr>
        <sz val="10"/>
        <rFont val="Noto Sans CJK SC"/>
        <family val="2"/>
      </rPr>
      <t xml:space="preserve">깊은 믿음이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쌓는 것이 늘어나는 해</t>
    </r>
  </si>
  <si>
    <r>
      <rPr>
        <sz val="10"/>
        <rFont val="Noto Sans CJK SC"/>
        <family val="2"/>
      </rPr>
      <t xml:space="preserve">믿는 사람과 깊이 나누고 도움을 주고받기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</si>
  <si>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 이야기를 나눌 사람이 생기거나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누군가의 도움이 뜻밖에 힘이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쥐고 있던 것을 내려놓을수록 오히려 채워지는 경험을 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</si>
  <si>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받을 기회가 오면 사양하기보다 고맙게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</si>
  <si>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돈이나 약속은 좋은 분위기일수록 조건을 글로 남겨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</si>
  <si>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 영역이지만 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대출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도움을 주고받기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</t>
    </r>
    <r>
      <rPr>
        <sz val="10"/>
        <rFont val="맑은 고딕"/>
        <family val="0"/>
        <charset val="1"/>
      </rPr>
      <t xml:space="preserve">.</t>
    </r>
  </si>
  <si>
    <t xml:space="preserve">JUP_H09</t>
  </si>
  <si>
    <t xml:space="preserve">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</si>
  <si>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</si>
  <si>
    <t xml:space="preserve">멀리 보는 해</t>
  </si>
  <si>
    <r>
      <rPr>
        <sz val="10"/>
        <rFont val="Noto Sans CJK SC"/>
        <family val="2"/>
      </rPr>
      <t xml:space="preserve">세상이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배움으로 멀리 가는 해</t>
    </r>
  </si>
  <si>
    <r>
      <rPr>
        <sz val="10"/>
        <rFont val="Noto Sans CJK SC"/>
        <family val="2"/>
      </rPr>
      <t xml:space="preserve">여행과 깊은 배움으로 시야가 넓어지기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</si>
  <si>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넓은 배움과 여행의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 가 보거나 오래 공부할 주제를 정하기에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생각을 가진 사람과의 대화가 내 기준을 넓혀 주기도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</si>
  <si>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오래전부터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</si>
  <si>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그림에 마음이 앞설 때는 지금 할 수 있는 첫걸음 하나로 좁혀 보세요</t>
    </r>
    <r>
      <rPr>
        <sz val="10"/>
        <rFont val="맑은 고딕"/>
        <family val="0"/>
        <charset val="1"/>
      </rPr>
      <t xml:space="preserve">.</t>
    </r>
  </si>
  <si>
    <t xml:space="preserve">JUP_H10</t>
  </si>
  <si>
    <t xml:space="preserve">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</si>
  <si>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 역할</t>
    </r>
  </si>
  <si>
    <t xml:space="preserve">일이 넓어지는 해</t>
  </si>
  <si>
    <r>
      <rPr>
        <sz val="10"/>
        <rFont val="Noto Sans CJK SC"/>
        <family val="2"/>
      </rPr>
      <t xml:space="preserve">일의 무대가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 온 일이 드러나는 해</t>
    </r>
  </si>
  <si>
    <r>
      <rPr>
        <sz val="10"/>
        <rFont val="Noto Sans CJK SC"/>
        <family val="2"/>
      </rPr>
      <t xml:space="preserve">일에서 인정받거나 새 역할이 들어오기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</si>
  <si>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커리어와 사회적 역할의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제안이 들어올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의견을 내거나 결과물을 보여 줄 때 반응이 한결 좋아지기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</si>
  <si>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맡아 보고 싶은 역할이 있다면 이번에는 먼저 손을 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</si>
  <si>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기회가 몰릴 때는 다 받기보다 내 방향과 맞는 것부터 고르는 편이 좋습니다</t>
    </r>
    <r>
      <rPr>
        <sz val="10"/>
        <rFont val="맑은 고딕"/>
        <family val="0"/>
        <charset val="1"/>
      </rPr>
      <t xml:space="preserve">.</t>
    </r>
  </si>
  <si>
    <t xml:space="preserve">JUP_H11</t>
  </si>
  <si>
    <t xml:space="preserve">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</si>
  <si>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</si>
  <si>
    <t xml:space="preserve">사람이 늘어나는 해</t>
  </si>
  <si>
    <r>
      <rPr>
        <sz val="10"/>
        <rFont val="Noto Sans CJK SC"/>
        <family val="2"/>
      </rPr>
      <t xml:space="preserve">좋은 사람이 모이는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함께할 목표가 생기는 해</t>
    </r>
  </si>
  <si>
    <r>
      <rPr>
        <sz val="10"/>
        <rFont val="Noto Sans CJK SC"/>
        <family val="2"/>
      </rPr>
      <t xml:space="preserve">좋은 사람들과 모임이 미래 목표에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</si>
  <si>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뜻이 맞는 모임이나 새로운 인연이 다음 목표로 가는 길을 열어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품던 계획을 꺼내 놓았을 때 도와주겠다는 사람이 나타나기도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</si>
  <si>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있는 모임이나 커뮤니티가 있다면 한 번 얼굴을 비쳐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</si>
  <si>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모임과 약속이 늘어나는 만큼 혼자 쉬는 날도 달력에 먼저 적어 두세요</t>
    </r>
    <r>
      <rPr>
        <sz val="10"/>
        <rFont val="맑은 고딕"/>
        <family val="0"/>
        <charset val="1"/>
      </rPr>
      <t xml:space="preserve">.</t>
    </r>
  </si>
  <si>
    <t xml:space="preserve">JUP_H12</t>
  </si>
  <si>
    <t xml:space="preserve">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</si>
  <si>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</si>
  <si>
    <t xml:space="preserve">안으로 채우는 해</t>
  </si>
  <si>
    <r>
      <rPr>
        <sz val="10"/>
        <rFont val="Noto Sans CJK SC"/>
        <family val="2"/>
      </rPr>
      <t xml:space="preserve">쉼으로 채우는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마음을 돌보는 해</t>
    </r>
  </si>
  <si>
    <r>
      <rPr>
        <sz val="10"/>
        <rFont val="Noto Sans CJK SC"/>
        <family val="2"/>
      </rPr>
      <t xml:space="preserve">겉보다 안을 채우고 쉬어 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</si>
  <si>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성과는 덜 보여도 마음을 정리하고 다음 흐름을 준비하는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걷는 시간이나 기록하는 시간이 생각보다 큰 위로가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</si>
  <si>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중 혼자만의 조용한 시간을 정해 두고 지켜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</si>
  <si>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것이 길어져 해야 할 일까지 흐려지지 않도록 작은 마감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</si>
  <si>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하우스면 성과가 덜 보이는 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조용한 시기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솔직하게 쓰되 실망감을 주지 않도록 했음</t>
    </r>
    <r>
      <rPr>
        <sz val="10"/>
        <rFont val="맑은 고딕"/>
        <family val="0"/>
        <charset val="1"/>
      </rPr>
      <t xml:space="preserve">.</t>
    </r>
  </si>
  <si>
    <t xml:space="preserve">SAT_H01</t>
  </si>
  <si>
    <t xml:space="preserve">나를 다시 세우는 해</t>
  </si>
  <si>
    <r>
      <rPr>
        <sz val="10"/>
        <rFont val="Noto Sans CJK SC"/>
        <family val="2"/>
      </rPr>
      <t xml:space="preserve">나를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내 기준을 세우는 해</t>
    </r>
  </si>
  <si>
    <r>
      <rPr>
        <sz val="10"/>
        <rFont val="Noto Sans CJK SC"/>
        <family val="2"/>
      </rPr>
      <t xml:space="preserve">나를 보여주는 방식과 책임을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</si>
  <si>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 자신의 자리에 들어와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어떤 사람으로 서고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일이 늘고 몸과 마음이 무겁게 느껴지는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나에게 맞지 않는 모습을 덜어 내고 단단한 모습을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</si>
  <si>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기대보다 내 기준으로 서는 힘이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</si>
  <si>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일을 혼자 증명하려 하기보다 해야 할 일을 작게 나눠 하나씩 끝내 보세요</t>
    </r>
    <r>
      <rPr>
        <sz val="10"/>
        <rFont val="맑은 고딕"/>
        <family val="0"/>
        <charset val="1"/>
      </rPr>
      <t xml:space="preserve">.</t>
    </r>
  </si>
  <si>
    <t xml:space="preserve">SAT_H02</t>
  </si>
  <si>
    <t xml:space="preserve">살림의 바탕을 세우는 해</t>
  </si>
  <si>
    <r>
      <rPr>
        <sz val="10"/>
        <rFont val="Noto Sans CJK SC"/>
        <family val="2"/>
      </rPr>
      <t xml:space="preserve">내 것의 기준을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살림을 단단히 하는 해</t>
    </r>
  </si>
  <si>
    <r>
      <rPr>
        <sz val="10"/>
        <rFont val="Noto Sans CJK SC"/>
        <family val="2"/>
      </rPr>
      <t xml:space="preserve">돈 쓰는 기준과 내 가치를 차분히 점검하는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</si>
  <si>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돈과 내 것의 자리를 지나는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지출과 수입을 꼼꼼히 들여다봐야 하는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무엇에 돈과 시간을 쓰는지 기준이 분명해지는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</si>
  <si>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흔들려도 버틸 수 있는 생활의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</si>
  <si>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번에 다 바꾸려 하기보다 한 달 지출을 적어 보는 일부터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</si>
  <si>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돈이 줄어든다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빠듯하게 느껴질 수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</si>
  <si>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SAT_H03</t>
  </si>
  <si>
    <t xml:space="preserve">말과 배움을 다지는 해</t>
  </si>
  <si>
    <r>
      <rPr>
        <sz val="10"/>
        <rFont val="Noto Sans CJK SC"/>
        <family val="2"/>
      </rPr>
      <t xml:space="preserve">말을 다듬는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꾸준히 쌓는 해</t>
    </r>
  </si>
  <si>
    <r>
      <rPr>
        <sz val="10"/>
        <rFont val="Noto Sans CJK SC"/>
        <family val="2"/>
      </rPr>
      <t xml:space="preserve">배움과 말에 무게가 실리고 꼼꼼함이 필요한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</si>
  <si>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배움과 말의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 공부나 문서 작업처럼 차근차근 쌓아야 하는 일이 늘어나기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 한마디가 무겁게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생각을 정리해 전하는 힘이 길러집니다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</si>
  <si>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꾸준히 쌓은 공부와 신뢰받는 말이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</si>
  <si>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준비될 때까지 기다리기보다 매일 조금씩 하는 분량을 정해 두세요</t>
    </r>
    <r>
      <rPr>
        <sz val="10"/>
        <rFont val="맑은 고딕"/>
        <family val="0"/>
        <charset val="1"/>
      </rPr>
      <t xml:space="preserve">.</t>
    </r>
  </si>
  <si>
    <t xml:space="preserve">SAT_H04</t>
  </si>
  <si>
    <t xml:space="preserve">뿌리를 다지는 해</t>
  </si>
  <si>
    <r>
      <rPr>
        <sz val="10"/>
        <rFont val="Noto Sans CJK SC"/>
        <family val="2"/>
      </rPr>
      <t xml:space="preserve">집과 마음을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자리를 세우는 해</t>
    </r>
  </si>
  <si>
    <r>
      <rPr>
        <sz val="10"/>
        <rFont val="Noto Sans CJK SC"/>
        <family val="2"/>
      </rPr>
      <t xml:space="preserve">집과 가족 일에 책임이 늘고 생활의 바탕을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</si>
  <si>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집과 마음의 뿌리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집안일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가족을 챙기는 일처럼 생활의 바탕을 손볼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 오래 쓸 기반을 새로 다지는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</si>
  <si>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마음 놓고 돌아올 수 있는 생활의 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</si>
  <si>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 일을 혼자 다 떠안기보다 나눌 수 있는 몫을 말로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</si>
  <si>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 이슈로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가족을 챙기는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까지만 썼음</t>
    </r>
    <r>
      <rPr>
        <sz val="10"/>
        <rFont val="맑은 고딕"/>
        <family val="0"/>
        <charset val="1"/>
      </rPr>
      <t xml:space="preserve">.</t>
    </r>
  </si>
  <si>
    <t xml:space="preserve">SAT_H05</t>
  </si>
  <si>
    <t xml:space="preserve">좋아하는 것을 다지는 해</t>
  </si>
  <si>
    <r>
      <rPr>
        <sz val="10"/>
        <rFont val="Noto Sans CJK SC"/>
        <family val="2"/>
      </rPr>
      <t xml:space="preserve">좋아하는 일을 깊게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즐거움에 공을 들이는 해</t>
    </r>
  </si>
  <si>
    <r>
      <rPr>
        <sz val="10"/>
        <rFont val="Noto Sans CJK SC"/>
        <family val="2"/>
      </rPr>
      <t xml:space="preserve">즐거움보다 꾸준함이 필요하고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것이 깊어지는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</si>
  <si>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즐거움과 창작의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즐기던 일에도 노력이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재미가 덜하다고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정말 좋아하는 것 하나를 골라 꾸준히 다듬으면 실력으로 남기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</si>
  <si>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이어 온 취미나 작업이 나만의 결과물로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</si>
  <si>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즐거움을 숙제로 만들지 않도록 잘하려는 마음보다 이어 가는 데 목표를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</si>
  <si>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관련 예측은 금지 영역이라 창작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 중심으로만 썼음</t>
    </r>
    <r>
      <rPr>
        <sz val="10"/>
        <rFont val="맑은 고딕"/>
        <family val="0"/>
        <charset val="1"/>
      </rPr>
      <t xml:space="preserve">.</t>
    </r>
  </si>
  <si>
    <t xml:space="preserve">SAT_H06</t>
  </si>
  <si>
    <t xml:space="preserve">루틴을 세우는 해</t>
  </si>
  <si>
    <r>
      <rPr>
        <sz val="10"/>
        <rFont val="Noto Sans CJK SC"/>
        <family val="2"/>
      </rPr>
      <t xml:space="preserve">하루의 틀을 잡는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일과 몸의 리듬을 세우는 해</t>
    </r>
  </si>
  <si>
    <r>
      <rPr>
        <sz val="10"/>
        <rFont val="Noto Sans CJK SC"/>
        <family val="2"/>
      </rPr>
      <t xml:space="preserve">매일의 일과 몸 관리 루틴을 다시 짜는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</si>
  <si>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늘고 피로가 쉽게 쌓여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</si>
  <si>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바쁜 날에도 무너지지 않는 나만의 루틴이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</si>
  <si>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피곤할수록 더 버티기보다 하루에 쉬는 시간 하나를 먼저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</si>
  <si>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 수준으로만 제한함</t>
    </r>
    <r>
      <rPr>
        <sz val="10"/>
        <rFont val="맑은 고딕"/>
        <family val="0"/>
        <charset val="1"/>
      </rPr>
      <t xml:space="preserve">.</t>
    </r>
  </si>
  <si>
    <t xml:space="preserve">SAT_H07</t>
  </si>
  <si>
    <t xml:space="preserve">관계를 다지는 해</t>
  </si>
  <si>
    <r>
      <rPr>
        <sz val="10"/>
        <rFont val="Noto Sans CJK SC"/>
        <family val="2"/>
      </rPr>
      <t xml:space="preserve">관계의 약속을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곁의 사람과 단단해지는 해</t>
    </r>
  </si>
  <si>
    <r>
      <rPr>
        <sz val="10"/>
        <rFont val="Noto Sans CJK SC"/>
        <family val="2"/>
      </rPr>
      <t xml:space="preserve">가까운 관계의 약속과 책임을 다시 살펴보는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</si>
  <si>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동료나 파트너와의 약속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기대하는 몫이 또렷하게 보이기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불편한 이야기를 꺼내야 할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관계의 기준이 분명해지는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</si>
  <si>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서로의 몫이 분명한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관계가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</si>
  <si>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오래 쌓아 두기보다 바라는 것을 한 가지씩 담담하게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</si>
  <si>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예측으로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약속과 몫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씀</t>
    </r>
    <r>
      <rPr>
        <sz val="10"/>
        <rFont val="맑은 고딕"/>
        <family val="0"/>
        <charset val="1"/>
      </rPr>
      <t xml:space="preserve">.</t>
    </r>
  </si>
  <si>
    <t xml:space="preserve">SAT_H08</t>
  </si>
  <si>
    <t xml:space="preserve">나눔의 기준을 세우는 해</t>
  </si>
  <si>
    <r>
      <rPr>
        <sz val="10"/>
        <rFont val="Noto Sans CJK SC"/>
        <family val="2"/>
      </rPr>
      <t xml:space="preserve">깊은 관계를 정리하는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쓰는 것의 기준을 세우는 해</t>
    </r>
  </si>
  <si>
    <r>
      <rPr>
        <sz val="10"/>
        <rFont val="Noto Sans CJK SC"/>
        <family val="2"/>
      </rPr>
      <t xml:space="preserve">함께 쓰는 돈과 깊은 관계의 기준을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</si>
  <si>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문제를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</si>
  <si>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무엇을 누구와 나눌지에 대한 분명한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</si>
  <si>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일을 한 번에 풀려 하기보다 목록으로 적어 하나씩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</si>
  <si>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언급이 금융 조언으로 읽히는지 확인 부탁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정리 대상 예시로만 씀</t>
    </r>
    <r>
      <rPr>
        <sz val="10"/>
        <rFont val="맑은 고딕"/>
        <family val="0"/>
        <charset val="1"/>
      </rPr>
      <t xml:space="preserve">).</t>
    </r>
  </si>
  <si>
    <t xml:space="preserve">SAT_H09</t>
  </si>
  <si>
    <t xml:space="preserve">믿음을 다지는 해</t>
  </si>
  <si>
    <r>
      <rPr>
        <sz val="10"/>
        <rFont val="Noto Sans CJK SC"/>
        <family val="2"/>
      </rPr>
      <t xml:space="preserve">내 생각을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끝까지 해 보는 해</t>
    </r>
  </si>
  <si>
    <r>
      <rPr>
        <sz val="10"/>
        <rFont val="Noto Sans CJK SC"/>
        <family val="2"/>
      </rPr>
      <t xml:space="preserve">공부와 신념에 깊이를 더하고 방향을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</si>
  <si>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넓은 배움과 신념의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공부나 자격 과정처럼 시간이 드는 배움에 무게가 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무엇을 믿고 어디로 가는지 묻는 시간이 길어져도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답은 오래 쓸 지도가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</si>
  <si>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말에 덜 흔들리는 나만의 방향이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</si>
  <si>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답을 빨리 내려 하기보다 한 분야를 정해 꾸준히 파고드는 쪽을 택해 보세요</t>
    </r>
    <r>
      <rPr>
        <sz val="10"/>
        <rFont val="맑은 고딕"/>
        <family val="0"/>
        <charset val="1"/>
      </rPr>
      <t xml:space="preserve">.</t>
    </r>
  </si>
  <si>
    <t xml:space="preserve">SAT_H10</t>
  </si>
  <si>
    <t xml:space="preserve">자리를 굳히는 해</t>
  </si>
  <si>
    <r>
      <rPr>
        <sz val="10"/>
        <rFont val="Noto Sans CJK SC"/>
        <family val="2"/>
      </rPr>
      <t xml:space="preserve">일의 자리를 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책임이 커지는 해</t>
    </r>
  </si>
  <si>
    <r>
      <rPr>
        <sz val="10"/>
        <rFont val="Noto Sans CJK SC"/>
        <family val="2"/>
      </rPr>
      <t xml:space="preserve">일의 책임이 커지고 그동안의 결과를 점검받는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</si>
  <si>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커리어와 사회적 역할의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역할이 무거워지고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해 온 일의 결과를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날도 있겠지만 인정받을 실력을 차곡차곡 굳히는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</si>
  <si>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쉽게 흔들리지 않는 일의 자리와 신뢰가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</si>
  <si>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기대에 응하기보다 꼭 지켜야 할 일의 우선순위를 먼저 적어 두세요</t>
    </r>
    <r>
      <rPr>
        <sz val="10"/>
        <rFont val="맑은 고딕"/>
        <family val="0"/>
        <charset val="1"/>
      </rPr>
      <t xml:space="preserve">.</t>
    </r>
  </si>
  <si>
    <t xml:space="preserve">SAT_H11</t>
  </si>
  <si>
    <t xml:space="preserve">사람을 고르는 해</t>
  </si>
  <si>
    <r>
      <rPr>
        <sz val="10"/>
        <rFont val="Noto Sans CJK SC"/>
        <family val="2"/>
      </rPr>
      <t xml:space="preserve">곁의 사람을 추리는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오래 갈 사람을 아는 해</t>
    </r>
  </si>
  <si>
    <r>
      <rPr>
        <sz val="10"/>
        <rFont val="Noto Sans CJK SC"/>
        <family val="2"/>
      </rPr>
      <t xml:space="preserve">사람들과의 관계와 미래 목표를 현실적으로 다듬는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</si>
  <si>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맡는 역할이 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관계가 나에게 맞는지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넓기보다 깊은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막연하기보다 구체적인 목표가 남는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</si>
  <si>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함께할 사람들과 현실적인 목표가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</si>
  <si>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모임을 지키려 하기보다 에너지를 쓸 곳을 몇 군데로 좁혀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</si>
  <si>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양자리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결과와 결이 맞는지 확인 부탁</t>
    </r>
    <r>
      <rPr>
        <sz val="10"/>
        <rFont val="맑은 고딕"/>
        <family val="0"/>
        <charset val="1"/>
      </rPr>
      <t xml:space="preserve">.</t>
    </r>
  </si>
  <si>
    <t xml:space="preserve">SAT_H12</t>
  </si>
  <si>
    <t xml:space="preserve">조용히 정리하는 해</t>
  </si>
  <si>
    <r>
      <rPr>
        <sz val="10"/>
        <rFont val="Noto Sans CJK SC"/>
        <family val="2"/>
      </rPr>
      <t xml:space="preserve">안을 정돈하는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조용히 힘을 모으는 해</t>
    </r>
  </si>
  <si>
    <r>
      <rPr>
        <sz val="10"/>
        <rFont val="Noto Sans CJK SC"/>
        <family val="2"/>
      </rPr>
      <t xml:space="preserve">겉으로 드러나지 않는 정리와 쉼이 필요한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</si>
  <si>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보이는 성과보다 미뤄 둔 마음과 일을 정리하는 시간이 길어지기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느껴질 수 있지만 다음 시작을 위한 자리를 비우는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</si>
  <si>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가볍게 새로 시작할 수 있는 비워진 자리가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</si>
  <si>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견디기보다 마음을 털어놓을 사람이나 기록할 공간을 하나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</si>
  <si>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고립감이 큰 사용자에게 무겁게 읽히지 않는지 확인 부탁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</si>
  <si>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월별 표 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무엇을 조심할까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</si>
  <si>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왜 그럴까 한 줄</t>
  </si>
  <si>
    <t xml:space="preserve">해볼 행동</t>
  </si>
  <si>
    <t xml:space="preserve">RX_MERCURY_H01</t>
  </si>
  <si>
    <t xml:space="preserve">수성 역행</t>
  </si>
  <si>
    <t xml:space="preserve">나를 소개하는 말과 첫인상을 한 번 더 다듬기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</si>
  <si>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나 자신의 자리에서 거꾸로 가며 나를 드러내는 말을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</si>
  <si>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나 자신의 자리에서 거꾸로 가는 것처럼 보이는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결정을 자꾸 고치고 싶어지기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</si>
  <si>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프로필이나 자기소개 글은 올리기 전 하루 묵혀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</si>
  <si>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RX_MERCURY_H02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</si>
  <si>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송금 내역과 금액을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</si>
  <si>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돈과 내 것의 자리에서 거꾸로 가며 돈 계산과 정산을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</si>
  <si>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금액을 잘못 적거나 환불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정산이 늦어지는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지출을 다시 들여다보기에는 오히려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</si>
  <si>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달 결제 내역을 한 번 훑어보고 잊고 있던 구독을 정리해 보세요</t>
    </r>
    <r>
      <rPr>
        <sz val="10"/>
        <rFont val="맑은 고딕"/>
        <family val="0"/>
        <charset val="1"/>
      </rPr>
      <t xml:space="preserve">.</t>
    </r>
  </si>
  <si>
    <t xml:space="preserve">RX_MERCURY_H03</t>
  </si>
  <si>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메일은 보내기 전에 한 번 더 읽기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</si>
  <si>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말과 배움의 자리에서 거꾸로 가며 연락과 말을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</si>
  <si>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별이 바로 그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늦거나 말이 엇갈리고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이동 중 일정이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미뤄 둔 공부나 글을 다시 꺼내 다듬기에는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</si>
  <si>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메시지는 보내기 전 하루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</si>
  <si>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수성이 자기 의미의 자리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역행하는 경우라 체감이 가장 클 수 있음</t>
    </r>
    <r>
      <rPr>
        <sz val="10"/>
        <rFont val="맑은 고딕"/>
        <family val="0"/>
        <charset val="1"/>
      </rPr>
      <t xml:space="preserve">.</t>
    </r>
  </si>
  <si>
    <t xml:space="preserve">RX_MERCURY_H04</t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</si>
  <si>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일정과 약속을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</si>
  <si>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집과 마음의 뿌리 자리에서 거꾸로 가며 집안의 말과 서류를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</si>
  <si>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사이에 말이 엇갈리거나 집 관련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수리가 늦어지기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</si>
  <si>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계약서나 수리 일정은 날짜와 조건을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</si>
  <si>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RX_MERCURY_H05</t>
  </si>
  <si>
    <t xml:space="preserve">들뜬 마음에 한 말이나 약속을 다시 살펴보기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</si>
  <si>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즐거움과 창작의 자리에서 거꾸로 가며 지난 작업을 다시 꺼내게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</si>
  <si>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하던 취미나 작업을 다시 꺼내고 싶어지기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시작하기보다 지난 작업을 고치고 마무리하기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</si>
  <si>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멈춰 둔 작업 하나를 꺼내 끝까지 마무리해 보세요</t>
    </r>
    <r>
      <rPr>
        <sz val="10"/>
        <rFont val="맑은 고딕"/>
        <family val="0"/>
        <charset val="1"/>
      </rPr>
      <t xml:space="preserve">.</t>
    </r>
  </si>
  <si>
    <t xml:space="preserve">RX_MERCURY_H06</t>
  </si>
  <si>
    <r>
      <rPr>
        <sz val="10"/>
        <rFont val="Noto Sans CJK SC"/>
        <family val="2"/>
      </rPr>
      <t xml:space="preserve">업무 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지시를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</si>
  <si>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매일의 일과 루틴 자리에서 거꾸로 가며 업무 소통을 다시 점검하게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</si>
  <si>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지시가 엇갈리거나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일정이 꼬이는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다시 점검하기에는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</si>
  <si>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마칠 때 다음 날 일정과 받은 지시를 한 번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</si>
  <si>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가을 역행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</si>
  <si>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RX_MERCURY_H07</t>
  </si>
  <si>
    <r>
      <rPr>
        <sz val="10"/>
        <rFont val="Noto Sans CJK SC"/>
        <family val="2"/>
      </rPr>
      <t xml:space="preserve">가까운 사람과의 약속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합의를 다시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</si>
  <si>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일대일 관계의 자리에서 거꾸로 가며 합의와 약속을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</si>
  <si>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말을 서로 다르게 알아듣거나 계약 조건이 다시 오가기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오해를 차분히 풀어 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</si>
  <si>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합의는 대화 뒤 짧게 글로 정리해 서로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</si>
  <si>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RX_MERCURY_H08</t>
  </si>
  <si>
    <r>
      <rPr>
        <sz val="10"/>
        <rFont val="Noto Sans CJK SC"/>
        <family val="2"/>
      </rPr>
      <t xml:space="preserve">함께 쓰는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서류의 조건을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</si>
  <si>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공유 자원의 자리에서 거꾸로 가며 서류와 조건을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</si>
  <si>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깊은 유대와 함께 나누는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 같은 서류가 늦어지거나 다시 확인할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묻어 둔 이야기를 다시 꺼내 보기 쉬운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</si>
  <si>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서명 전에는 조건을 한 줄씩 소리 내어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</si>
  <si>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계약 금지가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다시 확인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</si>
  <si>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RX_MERCURY_H09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</si>
  <si>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출장 일정과 예약을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</si>
  <si>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여행과 넓은 배움의 자리에서 거꾸로 가며 일정과 예약을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</si>
  <si>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예약이 바뀌거나 이동이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공부를 벌이기보다 하던 공부를 복습하기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</si>
  <si>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출발 전날 예약 내역과 이동 시간을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</si>
  <si>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RX_MERCURY_H10</t>
  </si>
  <si>
    <r>
      <rPr>
        <sz val="10"/>
        <rFont val="Noto Sans CJK SC"/>
        <family val="2"/>
      </rPr>
      <t xml:space="preserve">보고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 자료와 업무 결정을 한 번 더 점검하기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</si>
  <si>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커리어의 자리에서 거꾸로 가며 일의 결정을 다시 검토하게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</si>
  <si>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커리어와 사회적 역할의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윗사람과의 소통이 엇갈리거나 진행하던 일이 다시 검토되기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방향 전환은 이 기간이 지난 뒤 다시 보아도 늦지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</si>
  <si>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결정은 메모로 남겨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</si>
  <si>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RX_MERCURY_H11</t>
  </si>
  <si>
    <t xml:space="preserve">단체 대화방의 공지와 약속을 다시 확인하기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</si>
  <si>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사람들과 공동체의 자리에서 거꾸로 가며 모임의 연락을 다시 챙기게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</si>
  <si>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공지가 엇갈리거나 연락이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연락이 뜸했던 사람에게서 소식이 오기도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</si>
  <si>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일정은 확정 전에 날짜와 장소를 한 번 더 공유해 보세요</t>
    </r>
    <r>
      <rPr>
        <sz val="10"/>
        <rFont val="맑은 고딕"/>
        <family val="0"/>
        <charset val="1"/>
      </rPr>
      <t xml:space="preserve">.</t>
    </r>
  </si>
  <si>
    <t xml:space="preserve">RX_MERCURY_H12</t>
  </si>
  <si>
    <t xml:space="preserve">혼자 곱씹는 생각은 글로 적어 정리하기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</si>
  <si>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쉼과 내면의 자리에서 거꾸로 가며 지난 생각을 다시 곱씹게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</si>
  <si>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일이 자꾸 떠오르고 생각이 맴돌기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밖으로 말하기 전에 안에서 먼저 정리해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</si>
  <si>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잠들기 전 떠오르는 생각을 세 줄로 적고 노트를 덮어 보세요</t>
    </r>
    <r>
      <rPr>
        <sz val="10"/>
        <rFont val="맑은 고딕"/>
        <family val="0"/>
        <charset val="1"/>
      </rPr>
      <t xml:space="preserve">.</t>
    </r>
  </si>
  <si>
    <t xml:space="preserve">RX_VENUS_H01</t>
  </si>
  <si>
    <t xml:space="preserve">금성 역행</t>
  </si>
  <si>
    <r>
      <rPr>
        <sz val="10"/>
        <rFont val="Noto Sans CJK SC"/>
        <family val="2"/>
      </rPr>
      <t xml:space="preserve">헤어스타일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외모의 큰 변화는 잠시 미루기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</si>
  <si>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나 자신의 자리에서 거꾸로 가며 내 모습을 보는 기준을 다시 묻게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</si>
  <si>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모습이나 매력을 보는 기준이 흔들리고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 바꾸고 싶은 마음이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바꾸기보다 지금의 나에게서 좋은 점을 다시 찾아보기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</si>
  <si>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모습은 사진으로 모아 두고 역행이 끝난 뒤 다시 보세요</t>
    </r>
    <r>
      <rPr>
        <sz val="10"/>
        <rFont val="맑은 고딕"/>
        <family val="0"/>
        <charset val="1"/>
      </rPr>
      <t xml:space="preserve">.</t>
    </r>
  </si>
  <si>
    <t xml:space="preserve">RX_VENUS_H02</t>
  </si>
  <si>
    <t xml:space="preserve">큰 지출과 충동구매는 한 번 미뤄 두기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</si>
  <si>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</si>
  <si>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사고 싶은 것과 필요한 것의 기준이 흔들리기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무엇에 가치를 두는지 다시 따져 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</si>
  <si>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장바구니에 담은 물건은 사흘 뒤에도 갖고 싶은지 다시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</si>
  <si>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투자 언급 없이 소비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 감각으로만 씀</t>
    </r>
    <r>
      <rPr>
        <sz val="10"/>
        <rFont val="맑은 고딕"/>
        <family val="0"/>
        <charset val="1"/>
      </rPr>
      <t xml:space="preserve">.</t>
    </r>
  </si>
  <si>
    <t xml:space="preserve">RX_VENUS_H03</t>
  </si>
  <si>
    <t xml:space="preserve">감정이 실린 말은 한 템포 늦춰 전하기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</si>
  <si>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사람과 나누는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</si>
  <si>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 주고받는 말에 서운함이 묻어나기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나눈 대화를 떠올리며 고마움을 다시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</si>
  <si>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고마웠던 사람에게 짧은 안부 메시지를 한 통 보내 보세요</t>
    </r>
    <r>
      <rPr>
        <sz val="10"/>
        <rFont val="맑은 고딕"/>
        <family val="0"/>
        <charset val="1"/>
      </rPr>
      <t xml:space="preserve">.</t>
    </r>
  </si>
  <si>
    <t xml:space="preserve">RX_VENUS_H04</t>
  </si>
  <si>
    <r>
      <rPr>
        <sz val="10"/>
        <rFont val="Noto Sans CJK SC"/>
        <family val="2"/>
      </rPr>
      <t xml:space="preserve">집 꾸미기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같은 큰 구매는 미뤄 두기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</si>
  <si>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집과 마음의 뿌리 자리에서 거꾸로 가며 집과 가족을 향한 마음을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</si>
  <si>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지난 일이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 낯설게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있는 공간을 다시 아껴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</si>
  <si>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사기 전에 집 안 물건 하나를 꺼내 다시 써 보세요</t>
    </r>
    <r>
      <rPr>
        <sz val="10"/>
        <rFont val="맑은 고딕"/>
        <family val="0"/>
        <charset val="1"/>
      </rPr>
      <t xml:space="preserve">.</t>
    </r>
  </si>
  <si>
    <t xml:space="preserve">RX_VENUS_H05</t>
  </si>
  <si>
    <t xml:space="preserve">지난 인연이 떠올라도 마음을 바로 행동으로 옮기지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</si>
  <si>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즐거움과 창작의 자리에서 거꾸로 가며 지난 인연과 즐거움을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</si>
  <si>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즐거움과 연애의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인연이나 예전에 좋아하던 것이 다시 떠오르기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기억이 지금의 나에게 무엇을 알려 주는지 살펴보기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</si>
  <si>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글로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연락은 하루 뒤에 다시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</si>
  <si>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재회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만류 어느 쪽으로도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하루 뒤 다시 생각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 부탁</t>
    </r>
    <r>
      <rPr>
        <sz val="10"/>
        <rFont val="맑은 고딕"/>
        <family val="0"/>
        <charset val="1"/>
      </rPr>
      <t xml:space="preserve">.</t>
    </r>
  </si>
  <si>
    <t xml:space="preserve">RX_VENUS_H06</t>
  </si>
  <si>
    <t xml:space="preserve">일상 속 작은 지출과 습관을 다시 점검하기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</si>
  <si>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</si>
  <si>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동료와의 분위기나 일의 즐거움이 예전 같지 않게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하던 작은 루틴을 다시 찾아보기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</si>
  <si>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출근길이나 점심시간에 예전에 좋아하던 작은 즐거움 하나를 되살려 보세요</t>
    </r>
    <r>
      <rPr>
        <sz val="10"/>
        <rFont val="맑은 고딕"/>
        <family val="0"/>
        <charset val="1"/>
      </rPr>
      <t xml:space="preserve">.</t>
    </r>
  </si>
  <si>
    <t xml:space="preserve">RX_VENUS_H07</t>
  </si>
  <si>
    <t xml:space="preserve">관계의 중요한 결정은 서두르지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</si>
  <si>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일대일 관계의 자리에서 거꾸로 가며 관계의 균형을 다시 따지게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</si>
  <si>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바라는 것과 내가 주는 것의 균형을 다시 따져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결론을 내기보다 서로의 마음을 다시 들어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</si>
  <si>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서운한 마음은 바로 말하기 전에 내가 바라는 것 하나로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</si>
  <si>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결정은 서두르지 않기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씀</t>
    </r>
    <r>
      <rPr>
        <sz val="10"/>
        <rFont val="맑은 고딕"/>
        <family val="0"/>
        <charset val="1"/>
      </rPr>
      <t xml:space="preserve">.</t>
    </r>
  </si>
  <si>
    <t xml:space="preserve">RX_VENUS_H08</t>
  </si>
  <si>
    <t xml:space="preserve">함께 쓰는 돈이나 빌려주는 일은 조건을 다시 확인하기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</si>
  <si>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공유 자원의 자리에서 거꾸로 가며 나누는 것의 균형을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</si>
  <si>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 무엇을 나누고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균형이 맞는지 돌아보기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깊은 관계에서 내가 바라는 것을 다시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</si>
  <si>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비용이 있다면 이번 기회에 나누는 방식을 적어 보세요</t>
    </r>
    <r>
      <rPr>
        <sz val="10"/>
        <rFont val="맑은 고딕"/>
        <family val="0"/>
        <charset val="1"/>
      </rPr>
      <t xml:space="preserve">.</t>
    </r>
  </si>
  <si>
    <t xml:space="preserve">RX_VENUS_H09</t>
  </si>
  <si>
    <r>
      <rPr>
        <sz val="10"/>
        <rFont val="Noto Sans CJK SC"/>
        <family val="2"/>
      </rPr>
      <t xml:space="preserve">비싼 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수업 결제는 한 번 더 따져 보기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</si>
  <si>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여행과 넓은 배움의 자리에서 거꾸로 가며 좋아하던 배움을 다시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</si>
  <si>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가 본 곳이나 접었던 공부가 다시 마음을 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계획보다 지난 경험에서 좋았던 점을 되짚어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</si>
  <si>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 여행 사진을 보며 다음에 꼭 해 보고 싶은 것 하나를 적어 보세요</t>
    </r>
    <r>
      <rPr>
        <sz val="10"/>
        <rFont val="맑은 고딕"/>
        <family val="0"/>
        <charset val="1"/>
      </rPr>
      <t xml:space="preserve">.</t>
    </r>
  </si>
  <si>
    <t xml:space="preserve">RX_VENUS_H10</t>
  </si>
  <si>
    <t xml:space="preserve">일터의 관계와 평판을 서두르지 말고 다듬기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</si>
  <si>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커리어의 자리에서 거꾸로 가며 일을 좋아하는 이유를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</si>
  <si>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일을 정말 좋아하는지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일터의 관계가 괜찮은지 다시 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바꾸기보다 내가 일에서 아끼는 것을 다시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</si>
  <si>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좋았던 순간 세 가지를 적고 그 공통점을 찾아보세요</t>
    </r>
    <r>
      <rPr>
        <sz val="10"/>
        <rFont val="맑은 고딕"/>
        <family val="0"/>
        <charset val="1"/>
      </rPr>
      <t xml:space="preserve">.</t>
    </r>
  </si>
  <si>
    <t xml:space="preserve">RX_VENUS_H11</t>
  </si>
  <si>
    <t xml:space="preserve">모임 지출과 무리한 약속을 줄이기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</si>
  <si>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사람들과 공동체의 자리에서 거꾸로 가며 편한 사람이 누구인지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</si>
  <si>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친구나 모임이 다시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관계와 견주어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편한 사람이 누구인지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</si>
  <si>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못 본 친구 한 명에게 가볍게 안부를 물어보세요</t>
    </r>
    <r>
      <rPr>
        <sz val="10"/>
        <rFont val="맑은 고딕"/>
        <family val="0"/>
        <charset val="1"/>
      </rPr>
      <t xml:space="preserve">.</t>
    </r>
  </si>
  <si>
    <t xml:space="preserve">RX_VENUS_H12</t>
  </si>
  <si>
    <t xml:space="preserve">혼자 쌓아 둔 서운함을 한꺼번에 터뜨리지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</si>
  <si>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쉼과 내면의 자리에서 거꾸로 가며 말하지 못한 마음을 떠올리게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</si>
  <si>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관계의 기억이나 말하지 못한 마음이 조용히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누군가에게 털어놓기 전에 나 자신에게 먼저 다정해지기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</si>
  <si>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편지처럼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보내지 않은 채 간직해 보세요</t>
    </r>
    <r>
      <rPr>
        <sz val="10"/>
        <rFont val="맑은 고딕"/>
        <family val="0"/>
        <charset val="1"/>
      </rPr>
      <t xml:space="preserve">.</t>
    </r>
  </si>
  <si>
    <t xml:space="preserve">RX_MARS_H01</t>
  </si>
  <si>
    <t xml:space="preserve">화성 역행</t>
  </si>
  <si>
    <t xml:space="preserve">의욕이 떨어져도 자신을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</si>
  <si>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나 자신의 자리에서 거꾸로 가며 의욕의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</si>
  <si>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추진력이 평소 같지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사소한 일에 짜증이 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속도를 늦추고 내가 정말 하고 싶은 일이 무엇인지 다시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</si>
  <si>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할 일을 세 가지로만 줄여 적어 보세요</t>
    </r>
    <r>
      <rPr>
        <sz val="10"/>
        <rFont val="맑은 고딕"/>
        <family val="0"/>
        <charset val="1"/>
      </rPr>
      <t xml:space="preserve">.</t>
    </r>
  </si>
  <si>
    <t xml:space="preserve">RX_MARS_H02</t>
  </si>
  <si>
    <t xml:space="preserve">돈 문제로 서두르는 결정은 미뤄 두기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</si>
  <si>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돈과 내 것의 자리에서 거꾸로 가며 돈을 향한 조급함을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</si>
  <si>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벌고 싶은 마음은 큰데 일이 생각만큼 빨리 풀리지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정산이나 정리를 다시 손보기에는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</si>
  <si>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정산이나 서류 하나를 골라 이번 주에 끝내 보세요</t>
    </r>
    <r>
      <rPr>
        <sz val="10"/>
        <rFont val="맑은 고딕"/>
        <family val="0"/>
        <charset val="1"/>
      </rPr>
      <t xml:space="preserve">.</t>
    </r>
  </si>
  <si>
    <t xml:space="preserve">RX_MARS_H03</t>
  </si>
  <si>
    <t xml:space="preserve">말다툼이 생기면 바로 받아치지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</si>
  <si>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말과 배움의 자리에서 거꾸로 가며 날카로운 말을 다스리게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</si>
  <si>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날카로워지거나 이동 중에 조급해지기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대화를 다시 정리해 차분히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</si>
  <si>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난 메시지는 임시 저장해 두고 한 시간 뒤에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</si>
  <si>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운전 사고 연상을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이동 중 조급함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</t>
    </r>
  </si>
  <si>
    <t xml:space="preserve">RX_MARS_H04</t>
  </si>
  <si>
    <r>
      <rPr>
        <sz val="10"/>
        <rFont val="Noto Sans CJK SC"/>
        <family val="2"/>
      </rPr>
      <t xml:space="preserve">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 관련 큰 결정은 서두르지 않기</t>
    </r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</si>
  <si>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집과 마음의 뿌리 자리에서 거꾸로 가며 집에서의 짜증을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</si>
  <si>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짜증이 늘거나 가족과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미뤄 둔 집안일을 하나씩 끝내기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</si>
  <si>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오래 미뤄 둔 정리 하나를 골라 주말에 끝내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</si>
  <si>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(2027 </t>
    </r>
    <r>
      <rPr>
        <sz val="10"/>
        <rFont val="Noto Sans CJK SC"/>
        <family val="2"/>
      </rPr>
      <t xml:space="preserve">초 화성 역행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</si>
  <si>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RX_MARS_H05</t>
  </si>
  <si>
    <t xml:space="preserve">놀이와 취미에서도 승부욕에 휩쓸리지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</si>
  <si>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즐거움과 창작의 자리에서 거꾸로 가며 멈춘 작업을 다시 잡게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</si>
  <si>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싶던 일이 막히거나 재미가 잘 붙지 않기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둔 작업을 다시 꺼내 손보기에는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</si>
  <si>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취미를 들이기보다 멈춰 둔 작업 하나를 다시 이어 가 보세요</t>
    </r>
    <r>
      <rPr>
        <sz val="10"/>
        <rFont val="맑은 고딕"/>
        <family val="0"/>
        <charset val="1"/>
      </rPr>
      <t xml:space="preserve">.</t>
    </r>
  </si>
  <si>
    <t xml:space="preserve">RX_MARS_H06</t>
  </si>
  <si>
    <t xml:space="preserve">몸이 지치면 무리해서 버티지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</si>
  <si>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매일의 일과 루틴 자리에서 거꾸로 가며 일의 속도와 피로를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</si>
  <si>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매일의 일과 몸 관리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속도가 떨어지고 피로가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순서를 다시 짜고 쉬는 리듬을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</si>
  <si>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운동이나 일의 강도를 평소보다 한 단계 낮춰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</si>
  <si>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 조절 수준으로만 씀</t>
    </r>
    <r>
      <rPr>
        <sz val="10"/>
        <rFont val="맑은 고딕"/>
        <family val="0"/>
        <charset val="1"/>
      </rPr>
      <t xml:space="preserve">.</t>
    </r>
  </si>
  <si>
    <t xml:space="preserve">RX_MARS_H07</t>
  </si>
  <si>
    <t xml:space="preserve">상대와의 갈등에서 이기려고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</si>
  <si>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일대일 관계의 자리에서 거꾸로 가며 덮어 둔 갈등을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</si>
  <si>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덮어 둔 갈등이 다시 떠오르거나 말다툼이 길어지기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이기는 것보다 서로 원하는 것을 다시 확인하기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</si>
  <si>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다툼이 생기면 잠시 자리를 떠났다가 차분해진 뒤 다시 이야기해 보세요</t>
    </r>
    <r>
      <rPr>
        <sz val="10"/>
        <rFont val="맑은 고딕"/>
        <family val="0"/>
        <charset val="1"/>
      </rPr>
      <t xml:space="preserve">.</t>
    </r>
  </si>
  <si>
    <t xml:space="preserve">RX_MARS_H08</t>
  </si>
  <si>
    <t xml:space="preserve">함께 쓰는 돈 문제로 감정 섞인 결정을 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</si>
  <si>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공유 자원의 자리에서 거꾸로 가며 얽힌 문제를 천천히 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</si>
  <si>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얽힌 돈이나 깊은 감정 문제가 다시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오래 미뤄 둔 정리를 천천히 시작하기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</si>
  <si>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문제는 감정이 아닌 사실만 목록으로 적어 보세요</t>
    </r>
    <r>
      <rPr>
        <sz val="10"/>
        <rFont val="맑은 고딕"/>
        <family val="0"/>
        <charset val="1"/>
      </rPr>
      <t xml:space="preserve">.</t>
    </r>
  </si>
  <si>
    <t xml:space="preserve">RX_MARS_H09</t>
  </si>
  <si>
    <t xml:space="preserve">무리한 일정의 여행이나 공부 계획은 줄이기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</si>
  <si>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여행과 넓은 배움의 자리에서 거꾸로 가며 계획의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</si>
  <si>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이동이나 공부가 늦어지고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다른 사람과 부딪히기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목표를 세우기보다 하던 공부를 다시 붙잡기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</si>
  <si>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공부가 있다면 하루 분량을 아주 작게 정해 다시 시작해 보세요</t>
    </r>
    <r>
      <rPr>
        <sz val="10"/>
        <rFont val="맑은 고딕"/>
        <family val="0"/>
        <charset val="1"/>
      </rPr>
      <t xml:space="preserve">.</t>
    </r>
  </si>
  <si>
    <t xml:space="preserve">RX_MARS_H10</t>
  </si>
  <si>
    <t xml:space="preserve">일에서 조급하게 밀어붙이거나 갑자기 그만두지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</si>
  <si>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커리어의 자리에서 거꾸로 가며 일의 추진 속도를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</si>
  <si>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생각만큼 나아가지 않아 답답하고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윗사람과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멈춘 프로젝트를 다시 다듬고 실력을 쌓기에는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</si>
  <si>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그만두고 싶은 마음이 들면 이유를 적어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</si>
  <si>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RX_MARS_H11</t>
  </si>
  <si>
    <t xml:space="preserve">모임에서의 신경전에 에너지를 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</si>
  <si>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사람들과 공동체의 자리에서 거꾸로 가며 함께하는 일의 속도를 맞추게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</si>
  <si>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일의 속도가 느려지거나 의견 차이가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함께하던 사람들과 미뤄 둔 계획을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</si>
  <si>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일은 내 몫을 분명히 정하고 그 이상은 맡지 않도록 해 보세요</t>
    </r>
    <r>
      <rPr>
        <sz val="10"/>
        <rFont val="맑은 고딕"/>
        <family val="0"/>
        <charset val="1"/>
      </rPr>
      <t xml:space="preserve">.</t>
    </r>
  </si>
  <si>
    <t xml:space="preserve">RX_MARS_H12</t>
  </si>
  <si>
    <t xml:space="preserve">쌓인 짜증을 혼자 삼키지만 말고 풀어 주기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</si>
  <si>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쉼과 내면의 자리에서 거꾸로 가며 속에 쌓인 기운을 돌보게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</si>
  <si>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기운이 빠지거나 속으로 화가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움직여 마음을 풀고 충분히 쉬어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</si>
  <si>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때는 가볍게 걷거나 몸을 풀어 쌓인 기운을 내보내 보세요</t>
    </r>
    <r>
      <rPr>
        <sz val="10"/>
        <rFont val="맑은 고딕"/>
        <family val="0"/>
        <charset val="1"/>
      </rPr>
      <t xml:space="preserve">.</t>
    </r>
  </si>
  <si>
    <t xml:space="preserve">기간</t>
  </si>
  <si>
    <t xml:space="preserve">하늘의 사건</t>
  </si>
  <si>
    <t xml:space="preserve">공통 문구</t>
  </si>
  <si>
    <t xml:space="preserve">접힌 근거 한 줄</t>
  </si>
  <si>
    <t xml:space="preserve">SKY_01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</si>
  <si>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10~11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</si>
  <si>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금성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전갈→천칭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</si>
  <si>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가을 끝자락은 관계와 돈의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말과 연락을 다시 살펴보는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결정은 서두르기보다 한 번 더 확인하고 움직이기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</si>
  <si>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함께 거꾸로 가는 것처럼 보이는 기간이에요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</si>
  <si>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역행이 끝나는 날이 거의 같아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중순 이후 다시 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묶어 쓰기 좋음</t>
    </r>
    <r>
      <rPr>
        <sz val="10"/>
        <rFont val="맑은 고딕"/>
        <family val="0"/>
        <charset val="1"/>
      </rPr>
      <t xml:space="preserve">.</t>
    </r>
  </si>
  <si>
    <t xml:space="preserve">SKY_02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</si>
  <si>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</si>
  <si>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처녀→사자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</si>
  <si>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새해 초에는 의욕과 추진의 속도가 평소보다 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미뤄 둔 일을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</si>
  <si>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석 달 가까이 거꾸로 가는 것처럼 보이는 기간입니다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</si>
  <si>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역행 전후 그림자 기간을 표시할지 결정 필요</t>
    </r>
    <r>
      <rPr>
        <sz val="10"/>
        <rFont val="맑은 고딕"/>
        <family val="0"/>
        <charset val="1"/>
      </rPr>
      <t xml:space="preserve">.</t>
    </r>
  </si>
  <si>
    <t xml:space="preserve">SKY_03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</si>
  <si>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</si>
  <si>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t xml:space="preserve">목성 사자자리</t>
  </si>
  <si>
    <r>
      <rPr>
        <sz val="10"/>
        <rFont val="Noto Sans CJK SC"/>
        <family val="2"/>
      </rPr>
      <t xml:space="preserve">나를 표현하고 즐거움을 되찾는 일에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나다운 모습을 드러내는 시도가 반가운 반응을 얻기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</si>
  <si>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자기표현의 별자리인 사자자리를 지나는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</si>
  <si>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</t>
    </r>
  </si>
  <si>
    <t xml:space="preserve">SKY_04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</si>
  <si>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</si>
  <si>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t xml:space="preserve">목성 처녀자리</t>
  </si>
  <si>
    <r>
      <rPr>
        <sz val="10"/>
        <rFont val="Noto Sans CJK SC"/>
        <family val="2"/>
      </rPr>
      <t xml:space="preserve">일상과 일하는 방식을 정돈하는 데 힘이 실리는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습관과 꼼꼼한 손질이 생각보다 큰 결실로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</si>
  <si>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정리와 돌봄의 별자리인 처녀자리를 지나는 때입니다</t>
    </r>
    <r>
      <rPr>
        <sz val="10"/>
        <rFont val="맑은 고딕"/>
        <family val="0"/>
        <charset val="1"/>
      </rPr>
      <t xml:space="preserve">.</t>
    </r>
  </si>
  <si>
    <t xml:space="preserve">SKY_05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</si>
  <si>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해왕성은 </t>
    </r>
    <r>
      <rPr>
        <sz val="10"/>
        <rFont val="맑은 고딕"/>
        <family val="0"/>
        <charset val="1"/>
      </rPr>
      <t xml:space="preserve">2039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</si>
  <si>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양자리</t>
    </r>
  </si>
  <si>
    <r>
      <rPr>
        <sz val="10"/>
        <rFont val="Noto Sans CJK SC"/>
        <family val="2"/>
      </rPr>
      <t xml:space="preserve">새로운 시작을 책임 있게 다져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</si>
  <si>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별과 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영감의 별이 시작의 별자리인 양자리에 함께 머무는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</si>
  <si>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모두 진입 직후 한 차례 물고기자리로 되돌아간 구간이 있으면 문구 분기 필요</t>
    </r>
    <r>
      <rPr>
        <sz val="10"/>
        <rFont val="맑은 고딕"/>
        <family val="0"/>
        <charset val="1"/>
      </rPr>
      <t xml:space="preserve">.</t>
    </r>
  </si>
  <si>
    <t xml:space="preserve">SKY_06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</si>
  <si>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~2033</t>
    </r>
    <r>
      <rPr>
        <sz val="10"/>
        <rFont val="Noto Sans CJK SC"/>
        <family val="2"/>
      </rPr>
      <t xml:space="preserve">년</t>
    </r>
  </si>
  <si>
    <t xml:space="preserve">천왕성 쌍둥이자리</t>
  </si>
  <si>
    <r>
      <rPr>
        <sz val="10"/>
        <rFont val="Noto Sans CJK SC"/>
        <family val="2"/>
      </rPr>
      <t xml:space="preserve">배우고 말하고 연결되는 방식이 빠르게 달라지는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새로운 소통 방식이 뜻밖의 기회를 열어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</si>
  <si>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소통과 정보의 별자리인 쌍둥이자리를 오래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</si>
  <si>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진입 직후 황소자리로 잠시 되돌아가는 구간 처리 확인</t>
    </r>
    <r>
      <rPr>
        <sz val="10"/>
        <rFont val="맑은 고딕"/>
        <family val="0"/>
        <charset val="1"/>
      </rPr>
      <t xml:space="preserve">.</t>
    </r>
  </si>
  <si>
    <t xml:space="preserve">SKY_07</t>
  </si>
  <si>
    <r>
      <rPr>
        <sz val="10"/>
        <rFont val="맑은 고딕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~2030</t>
    </r>
    <r>
      <rPr>
        <sz val="10"/>
        <rFont val="Noto Sans CJK SC"/>
        <family val="2"/>
      </rPr>
      <t xml:space="preserve">년</t>
    </r>
  </si>
  <si>
    <t xml:space="preserve">토성 황소자리</t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</si>
  <si>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오래갈 기반을 만드는 일이 빛나기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</si>
  <si>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안정과 소유의 별자리인 황소자리를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</si>
  <si>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관련 문구가 투자 시점처럼 읽히지 않는지 확인 부탁</t>
    </r>
    <r>
      <rPr>
        <sz val="10"/>
        <rFont val="맑은 고딕"/>
        <family val="0"/>
        <charset val="1"/>
      </rPr>
      <t xml:space="preserve">.</t>
    </r>
  </si>
  <si>
    <t xml:space="preserve">SKY_08</t>
  </si>
  <si>
    <r>
      <rPr>
        <sz val="10"/>
        <rFont val="맑은 고딕"/>
        <family val="0"/>
        <charset val="1"/>
      </rPr>
      <t xml:space="preserve">2030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</si>
  <si>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토성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 사수자리</t>
    </r>
  </si>
  <si>
    <r>
      <rPr>
        <sz val="10"/>
        <rFont val="Noto Sans CJK SC"/>
        <family val="2"/>
      </rPr>
      <t xml:space="preserve">배움과 말에는 책임이 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넓은 세상을 향한 호기심에는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공부와 경험을 차근차근 이어 가기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</si>
  <si>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별은 소통의 별자리에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확장의 별은 탐험의 별자리에 머물며 서로 마주 보는 자리를 이뤄요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</si>
  <si>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 사수자리 기간과 토성 쌍둥이자리 기간이 겹치는 정확한 구간 확인</t>
    </r>
    <r>
      <rPr>
        <sz val="10"/>
        <rFont val="맑은 고딕"/>
        <family val="0"/>
        <charset val="1"/>
      </rPr>
      <t xml:space="preserve">.</t>
    </r>
  </si>
  <si>
    <t xml:space="preserve">SKY_09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</si>
  <si>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(2024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~2043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</si>
  <si>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명왕성 물병자리</t>
  </si>
  <si>
    <r>
      <rPr>
        <sz val="10"/>
        <rFont val="Noto Sans CJK SC"/>
        <family val="2"/>
      </rPr>
      <t xml:space="preserve">사람들과 기술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공동체의 모습이 깊은 곳에서부터 바뀌어 가는 긴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혼자보다 함께할 때 새로운 길이 열리기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</si>
  <si>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공동체와 미래의 별자리인 물병자리에 오래 머무는 시기예요</t>
    </r>
    <r>
      <rPr>
        <sz val="10"/>
        <rFont val="맑은 고딕"/>
        <family val="0"/>
        <charset val="1"/>
      </rPr>
      <t xml:space="preserve">.</t>
    </r>
  </si>
  <si>
    <t xml:space="preserve">SKY_10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</si>
  <si>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</si>
  <si>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사자자리–물병자리 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</si>
  <si>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</si>
  <si>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해나 달이 가려지는 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월식이 사자자리와 물병자리를 잇는 축에서 이어지는 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</si>
  <si>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해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 가운데 일부는 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 쪽에 걸릴 수 있으니 축 판정 기준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</si>
  <si>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</si>
  <si>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r>
      <rPr>
        <b val="true"/>
        <sz val="10"/>
        <color rgb="FFFDF6E9"/>
        <rFont val="Noto Sans CJK SC"/>
        <family val="2"/>
      </rPr>
      <t xml:space="preserve">부드러운 톤</t>
    </r>
    <r>
      <rPr>
        <b val="true"/>
        <sz val="10"/>
        <color rgb="FFFDF6E9"/>
        <rFont val="맑은 고딕"/>
        <family val="0"/>
        <charset val="1"/>
      </rPr>
      <t xml:space="preserve">(Y/N)</t>
    </r>
  </si>
  <si>
    <t xml:space="preserve">도입문 — 하늘 흐름과 맞을 때</t>
  </si>
  <si>
    <t xml:space="preserve">도입문 — 하늘 흐름과 엇갈릴 때</t>
  </si>
  <si>
    <t xml:space="preserve">섹션 마무리 문장</t>
  </si>
  <si>
    <r>
      <rPr>
        <b val="true"/>
        <sz val="10"/>
        <color rgb="FFFDF6E9"/>
        <rFont val="Noto Sans CJK SC"/>
        <family val="2"/>
      </rPr>
      <t xml:space="preserve">상담 연결 안내</t>
    </r>
    <r>
      <rPr>
        <b val="true"/>
        <sz val="10"/>
        <color rgb="FFFDF6E9"/>
        <rFont val="맑은 고딕"/>
        <family val="0"/>
        <charset val="1"/>
      </rPr>
      <t xml:space="preserve">(soft=Y</t>
    </r>
    <r>
      <rPr>
        <b val="true"/>
        <sz val="10"/>
        <color rgb="FFFDF6E9"/>
        <rFont val="Noto Sans CJK SC"/>
        <family val="2"/>
      </rPr>
      <t xml:space="preserve">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</si>
  <si>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</t>
  </si>
  <si>
    <t xml:space="preserve">버텨</t>
  </si>
  <si>
    <t xml:space="preserve">N</t>
  </si>
  <si>
    <r>
      <rPr>
        <sz val="10"/>
        <rFont val="Noto Sans CJK SC"/>
        <family val="2"/>
      </rPr>
      <t xml:space="preserve">‘버텨’를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버티며 단단해지는 한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</si>
  <si>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‘버텨’를 고를 만큼 애쓴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</si>
  <si>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버틴 시간은 사라지지 않고 다음 해를 받쳐 줄 힘으로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나에게 수고했다는 말 한마디를 건네 주세요</t>
    </r>
    <r>
      <rPr>
        <sz val="10"/>
        <rFont val="맑은 고딕"/>
        <family val="0"/>
        <charset val="1"/>
      </rPr>
      <t xml:space="preserve">.</t>
    </r>
  </si>
  <si>
    <t xml:space="preserve">Q2_02</t>
  </si>
  <si>
    <t xml:space="preserve">배움</t>
  </si>
  <si>
    <r>
      <rPr>
        <sz val="10"/>
        <rFont val="Noto Sans CJK SC"/>
        <family val="2"/>
      </rPr>
      <t xml:space="preserve">‘배움’을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새로 알고 넓혀 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</si>
  <si>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‘배움’을 고르셨다면 올해 손에 쥔 깨달음이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 곁에서 다른 이야기도 하나 들려주고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</si>
  <si>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올해 배운 것 가운데 하나만 골라 내년에도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이어 가는 배움이 가장 오래 남습니다</t>
    </r>
    <r>
      <rPr>
        <sz val="10"/>
        <rFont val="맑은 고딕"/>
        <family val="0"/>
        <charset val="1"/>
      </rPr>
      <t xml:space="preserve">.</t>
    </r>
  </si>
  <si>
    <t xml:space="preserve">Q2_03</t>
  </si>
  <si>
    <t xml:space="preserve">변화</t>
  </si>
  <si>
    <r>
      <rPr>
        <sz val="10"/>
        <rFont val="Noto Sans CJK SC"/>
        <family val="2"/>
      </rPr>
      <t xml:space="preserve">‘변화’를 고르셨죠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같은 말을 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</si>
  <si>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‘변화’를 느낀 한 해였다면 그 체감이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변화 아래에서 조용히 이어지던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</si>
  <si>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변화는 흔들림이면서 새 자리를 만드는 과정이기도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달라진 것 하나를 적어 두면 내년의 방향을 잡는 데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</si>
  <si>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intro_match</t>
    </r>
    <r>
      <rPr>
        <sz val="10"/>
        <rFont val="Noto Sans CJK SC"/>
        <family val="2"/>
      </rPr>
      <t xml:space="preserve">는 샘플 리포트 문장을 따랐고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어미 섞기 규칙 때문에 둘째 문장만 ‘있었습니다’로 바꿨습니다</t>
    </r>
    <r>
      <rPr>
        <sz val="10"/>
        <rFont val="맑은 고딕"/>
        <family val="0"/>
        <charset val="1"/>
      </rPr>
      <t xml:space="preserve">.</t>
    </r>
  </si>
  <si>
    <t xml:space="preserve">Q2_04</t>
  </si>
  <si>
    <t xml:space="preserve">멈춤</t>
  </si>
  <si>
    <r>
      <rPr>
        <sz val="10"/>
        <rFont val="Noto Sans CJK SC"/>
        <family val="2"/>
      </rPr>
      <t xml:space="preserve">‘멈춤’을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잠시 서서 숨을 고르는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</si>
  <si>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‘멈춤’을 고를 만큼 걸음이 무거웠던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느낌을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멈춤 아래에서 조용히 움직이던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</si>
  <si>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시간은 뒤처진 시간이 아니라 방향을 다시 고르는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걸을 때는 내 속도를 먼저 정해 보세요</t>
    </r>
    <r>
      <rPr>
        <sz val="10"/>
        <rFont val="맑은 고딕"/>
        <family val="0"/>
        <charset val="1"/>
      </rPr>
      <t xml:space="preserve">.</t>
    </r>
  </si>
  <si>
    <t xml:space="preserve">Q2_05</t>
  </si>
  <si>
    <t xml:space="preserve">성취</t>
  </si>
  <si>
    <r>
      <rPr>
        <sz val="10"/>
        <rFont val="Noto Sans CJK SC"/>
        <family val="2"/>
      </rPr>
      <t xml:space="preserve">‘성취’를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쌓아 온 것이 모양을 갖추는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</si>
  <si>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‘성취’를 고르셨다면 올해 이뤄 낸 것이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성취 곁에서 다른 이야기도 하나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</si>
  <si>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오게 했는지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</si>
  <si>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t xml:space="preserve">Q2_06</t>
  </si>
  <si>
    <t xml:space="preserve">이별</t>
  </si>
  <si>
    <t xml:space="preserve">Y</t>
  </si>
  <si>
    <r>
      <rPr>
        <sz val="10"/>
        <rFont val="Noto Sans CJK SC"/>
        <family val="2"/>
      </rPr>
      <t xml:space="preserve">‘이별’을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무언가를 떠나보내고 자리를 정리하는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</si>
  <si>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‘이별’이라는 말이 떠오른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나를 돌보는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</si>
  <si>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떠나보낸 것이 있다면 그 자리를 서둘러 채우지 않아도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나에게 필요한 것이 무엇인지 천천히 살펴볼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</si>
  <si>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헤어짐의 무게가 오래 남아 있다면 혼자 견디지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도움도 함께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</si>
  <si>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이별의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끝내는 것을 권하거나 잘잘못을 평가하지 않도록 썼습니다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</si>
  <si>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Q2_07</t>
  </si>
  <si>
    <t xml:space="preserve">고생</t>
  </si>
  <si>
    <r>
      <rPr>
        <sz val="10"/>
        <rFont val="Noto Sans CJK SC"/>
        <family val="2"/>
      </rPr>
      <t xml:space="preserve">‘고생’을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올해가 유난히 무거운 짐을 진 해였다고 말하고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</si>
  <si>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‘고생’이라는 말이 먼저 떠오를 만큼 애쓴 한 해였다는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고생 곁에서 조금씩 힘이 붙던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</si>
  <si>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고생한 시간은 내가 무엇을 감당할 수 있는지 알려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해낸 일보다 쉬어 간 순간을 하나 더 만들어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</si>
  <si>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몸과 마음이 많이 지쳐 있다면 혼자 버티지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지친 마음을 조금씩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전문 상담의 도움도 편하게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</si>
  <si>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</si>
  <si>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Q2_08</t>
  </si>
  <si>
    <t xml:space="preserve">그만하자</t>
  </si>
  <si>
    <r>
      <rPr>
        <sz val="10"/>
        <rFont val="Noto Sans CJK SC"/>
        <family val="2"/>
      </rPr>
      <t xml:space="preserve">‘그만하자’를 고를 만큼 많이 지친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오래 쥐고 있던 것을 내려놓고 싶어지는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</si>
  <si>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‘그만하자’를 고를 만큼 지쳐 있는 그 마음이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쉬어 가며 다시 고를 수 있다는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</si>
  <si>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그만하고 싶은 마음은 약해서가 아니라 오래 애써 왔다는 신호예요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그만둘지는 충분히 쉰 다음에 천천히 정해도 늦지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</si>
  <si>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마음이 오래 이어지고 있다면 혼자 결론 내리지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쏘웰라에게 지금 마음을 편하게 털어놓거나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함께 받아 보시길 권합니다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</si>
  <si>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지쳐 있는 마음을 첫 문장에서 먼저 인정하도록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그만두라고 권하지 않도록 했습니다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</si>
  <si>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Q2_09</t>
  </si>
  <si>
    <t xml:space="preserve">시작</t>
  </si>
  <si>
    <r>
      <rPr>
        <sz val="10"/>
        <rFont val="Noto Sans CJK SC"/>
        <family val="2"/>
      </rPr>
      <t xml:space="preserve">‘시작’을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 출발선이 그어지는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</si>
  <si>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‘시작’을 고르셨다면 올해 무언가에 첫걸음을 뗐다는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</si>
  <si>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시작의 모양은 첫날보다 이어 가는 날들이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</si>
  <si>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Q2_10</t>
  </si>
  <si>
    <t xml:space="preserve">설렘</t>
  </si>
  <si>
    <r>
      <rPr>
        <sz val="10"/>
        <rFont val="Noto Sans CJK SC"/>
        <family val="2"/>
      </rPr>
      <t xml:space="preserve">‘설렘’을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새로운 가능성이 반짝이는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</si>
  <si>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‘설렘’을 고를 만큼 마음이 움직인 한 해였다면 그 감각이 가장 소중한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 곁에서 차분히 다지는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</si>
  <si>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설렘이 어디에서 왔는지 한 줄로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향한 곳에 내가 바라는 것이 담겨 있을 때가 많습니다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</si>
  <si>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자리</t>
    </r>
    <r>
      <rPr>
        <b val="true"/>
        <sz val="10"/>
        <color rgb="FFFDF6E9"/>
        <rFont val="맑은 고딕"/>
        <family val="0"/>
        <charset val="1"/>
      </rPr>
      <t xml:space="preserve">(intro_match/intro_differ/closing)</t>
    </r>
  </si>
  <si>
    <r>
      <rPr>
        <b val="true"/>
        <sz val="10"/>
        <color rgb="FFFDF6E9"/>
        <rFont val="Noto Sans CJK SC"/>
        <family val="2"/>
      </rPr>
      <t xml:space="preserve">번호</t>
    </r>
    <r>
      <rPr>
        <b val="true"/>
        <sz val="10"/>
        <color rgb="FFFDF6E9"/>
        <rFont val="맑은 고딕"/>
        <family val="0"/>
        <charset val="1"/>
      </rPr>
      <t xml:space="preserve">(2~5)</t>
    </r>
  </si>
  <si>
    <t xml:space="preserve">문장</t>
  </si>
  <si>
    <t xml:space="preserve">작성 메모</t>
  </si>
  <si>
    <t xml:space="preserve">Q2_01_IM_2</t>
  </si>
  <si>
    <t xml:space="preserve">intro_match</t>
  </si>
  <si>
    <r>
      <rPr>
        <sz val="10"/>
        <rFont val="Noto Sans CJK SC"/>
        <family val="2"/>
      </rPr>
      <t xml:space="preserve">하늘의 흐름도 올해를 견디며 뿌리를 내리는 해로 읽고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‘버텨’라는 말과 꼭 닮은 그림입니다</t>
    </r>
    <r>
      <rPr>
        <sz val="10"/>
        <rFont val="맑은 고딕"/>
        <family val="0"/>
        <charset val="1"/>
      </rPr>
      <t xml:space="preserve">.</t>
    </r>
  </si>
  <si>
    <t xml:space="preserve">Q2_01_IM_3</t>
  </si>
  <si>
    <r>
      <rPr>
        <sz val="10"/>
        <rFont val="Noto Sans CJK SC"/>
        <family val="2"/>
      </rPr>
      <t xml:space="preserve">올해를 ‘버텨’ 한 단어로 정리하셨군요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무게를 견디는 사이 안쪽이 단단해지는 해라고 말하고 있었습니다</t>
    </r>
    <r>
      <rPr>
        <sz val="10"/>
        <rFont val="맑은 고딕"/>
        <family val="0"/>
        <charset val="1"/>
      </rPr>
      <t xml:space="preserve">.</t>
    </r>
  </si>
  <si>
    <t xml:space="preserve">Q2_01_IM_4</t>
  </si>
  <si>
    <r>
      <rPr>
        <sz val="10"/>
        <rFont val="Noto Sans CJK SC"/>
        <family val="2"/>
      </rPr>
      <t xml:space="preserve">쉽게 흔들리지 않으려 애쓴 시간이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‘버텨’라는 말처럼 자리를 지켜 내는 흐름을 그리고 있었어요</t>
    </r>
    <r>
      <rPr>
        <sz val="10"/>
        <rFont val="맑은 고딕"/>
        <family val="0"/>
        <charset val="1"/>
      </rPr>
      <t xml:space="preserve">.</t>
    </r>
  </si>
  <si>
    <t xml:space="preserve">Q2_01_IM_5</t>
  </si>
  <si>
    <r>
      <rPr>
        <sz val="10"/>
        <rFont val="Noto Sans CJK SC"/>
        <family val="2"/>
      </rPr>
      <t xml:space="preserve">하늘이 그린 올해의 모양과 당신의 ‘버텨’가 같은 곳을 가리키고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바람을 맞으면서도 제자리를 지킨 한 해로 읽힙니다</t>
    </r>
    <r>
      <rPr>
        <sz val="10"/>
        <rFont val="맑은 고딕"/>
        <family val="0"/>
        <charset val="1"/>
      </rPr>
      <t xml:space="preserve">.</t>
    </r>
  </si>
  <si>
    <t xml:space="preserve">Q2_01_ID_2</t>
  </si>
  <si>
    <t xml:space="preserve">intro_differ</t>
  </si>
  <si>
    <r>
      <rPr>
        <sz val="10"/>
        <rFont val="Noto Sans CJK SC"/>
        <family val="2"/>
      </rPr>
      <t xml:space="preserve">올해를 ‘버텨’로 기억한다면 그만큼 견딘 시간이 있었다는 뜻이고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힘을 빼도 괜찮았던 순간들도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</si>
  <si>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Q2_01_ID_3</t>
  </si>
  <si>
    <r>
      <rPr>
        <sz val="10"/>
        <rFont val="Noto Sans CJK SC"/>
        <family val="2"/>
      </rPr>
      <t xml:space="preserve">버틴 사람만 아는 무게가 있죠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버텨’라는 당신의 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조금 다른 결의 이야기를 하나 더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</si>
  <si>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Q2_01_ID_4</t>
  </si>
  <si>
    <r>
      <rPr>
        <sz val="10"/>
        <rFont val="Noto Sans CJK SC"/>
        <family val="2"/>
      </rPr>
      <t xml:space="preserve">하늘의 흐름만 보면 올해는 조금 다른 색으로 읽히기도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‘버텨’라고 답한 당신의 체감이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 곁에 놓아 두는 또 하나의 시선이에요</t>
    </r>
    <r>
      <rPr>
        <sz val="10"/>
        <rFont val="맑은 고딕"/>
        <family val="0"/>
        <charset val="1"/>
      </rPr>
      <t xml:space="preserve">.</t>
    </r>
  </si>
  <si>
    <t xml:space="preserve">Q2_01_ID_5</t>
  </si>
  <si>
    <r>
      <rPr>
        <sz val="10"/>
        <rFont val="Noto Sans CJK SC"/>
        <family val="2"/>
      </rPr>
      <t xml:space="preserve">하루하루를 ‘버텨’ 온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쌓이던 여유에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</si>
  <si>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Q2_01_CL_2</t>
  </si>
  <si>
    <t xml:space="preserve">closing</t>
  </si>
  <si>
    <r>
      <rPr>
        <sz val="10"/>
        <rFont val="Noto Sans CJK SC"/>
        <family val="2"/>
      </rPr>
      <t xml:space="preserve">견디는 동안 놓치지 않은 것들이 지금의 나를 지탱하고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끝까지 지켜 낸 것 하나를 떠올리며 잠깐 숨을 골라 보세요</t>
    </r>
    <r>
      <rPr>
        <sz val="10"/>
        <rFont val="맑은 고딕"/>
        <family val="0"/>
        <charset val="1"/>
      </rPr>
      <t xml:space="preserve">.</t>
    </r>
  </si>
  <si>
    <t xml:space="preserve">Q2_01_CL_3</t>
  </si>
  <si>
    <r>
      <rPr>
        <sz val="10"/>
        <rFont val="Noto Sans CJK SC"/>
        <family val="2"/>
      </rPr>
      <t xml:space="preserve">버티는 일에도 힘이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힘을 쓴 건 바로 당신입니다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하루쯤 아무것도 해내지 않아도 되는 저녁을 남겨 두세요</t>
    </r>
    <r>
      <rPr>
        <sz val="10"/>
        <rFont val="맑은 고딕"/>
        <family val="0"/>
        <charset val="1"/>
      </rPr>
      <t xml:space="preserve">.</t>
    </r>
  </si>
  <si>
    <t xml:space="preserve">Q2_01_CL_4</t>
  </si>
  <si>
    <r>
      <rPr>
        <sz val="10"/>
        <rFont val="Noto Sans CJK SC"/>
        <family val="2"/>
      </rPr>
      <t xml:space="preserve">버틴 날들이 모두 근사하지 않았어도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하루하루가 모여 다음 해에 기댈 바닥이 되어 줍니다</t>
    </r>
    <r>
      <rPr>
        <sz val="10"/>
        <rFont val="맑은 고딕"/>
        <family val="0"/>
        <charset val="1"/>
      </rPr>
      <t xml:space="preserve">.</t>
    </r>
  </si>
  <si>
    <t xml:space="preserve">Q2_01_CL_5</t>
  </si>
  <si>
    <r>
      <rPr>
        <sz val="10"/>
        <rFont val="Noto Sans CJK SC"/>
        <family val="2"/>
      </rPr>
      <t xml:space="preserve">올해를 버텨 낸 방법을 한 가지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힘이 들 때 그 메모가 나만의 작은 안내서가 되어 줄 수 있습니다</t>
    </r>
    <r>
      <rPr>
        <sz val="10"/>
        <rFont val="맑은 고딕"/>
        <family val="0"/>
        <charset val="1"/>
      </rPr>
      <t xml:space="preserve">.</t>
    </r>
  </si>
  <si>
    <t xml:space="preserve">Q2_02_IM_2</t>
  </si>
  <si>
    <r>
      <rPr>
        <sz val="10"/>
        <rFont val="Noto Sans CJK SC"/>
        <family val="2"/>
      </rPr>
      <t xml:space="preserve">하늘도 올해를 시야가 넓어지고 새로 익히는 해로 보고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‘배움’과 같은 방향입니다</t>
    </r>
    <r>
      <rPr>
        <sz val="10"/>
        <rFont val="맑은 고딕"/>
        <family val="0"/>
        <charset val="1"/>
      </rPr>
      <t xml:space="preserve">.</t>
    </r>
  </si>
  <si>
    <t xml:space="preserve">Q2_02_IM_3</t>
  </si>
  <si>
    <r>
      <rPr>
        <sz val="10"/>
        <rFont val="Noto Sans CJK SC"/>
        <family val="2"/>
      </rPr>
      <t xml:space="preserve">무언가를 새로 알게 된 기쁨이 ‘배움’이라는 말에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낯선 것을 내 것으로 만들어 가는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</si>
  <si>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Q2_02_IM_4</t>
  </si>
  <si>
    <r>
      <rPr>
        <sz val="10"/>
        <rFont val="Noto Sans CJK SC"/>
        <family val="2"/>
      </rPr>
      <t xml:space="preserve">‘배움’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올해를 잘 담은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생각이 자라고 질문이 많아지는 한 해의 모습이 보였어요</t>
    </r>
    <r>
      <rPr>
        <sz val="10"/>
        <rFont val="맑은 고딕"/>
        <family val="0"/>
        <charset val="1"/>
      </rPr>
      <t xml:space="preserve">.</t>
    </r>
  </si>
  <si>
    <t xml:space="preserve">Q2_02_IM_5</t>
  </si>
  <si>
    <r>
      <rPr>
        <sz val="10"/>
        <rFont val="Noto Sans CJK SC"/>
        <family val="2"/>
      </rPr>
      <t xml:space="preserve">올해 하늘은 새 지식과 경험이 문을 두드리는 그림이었어요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‘배움’을 고른 당신의 답이 더 반갑게 느껴집니다</t>
    </r>
    <r>
      <rPr>
        <sz val="10"/>
        <rFont val="맑은 고딕"/>
        <family val="0"/>
        <charset val="1"/>
      </rPr>
      <t xml:space="preserve">.</t>
    </r>
  </si>
  <si>
    <t xml:space="preserve">Q2_02_ID_2</t>
  </si>
  <si>
    <r>
      <rPr>
        <sz val="10"/>
        <rFont val="Noto Sans CJK SC"/>
        <family val="2"/>
      </rPr>
      <t xml:space="preserve">올해가 ‘배움’으로 남았다면 그 감각이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배운 것을 잠시 쉬게 두는 시간에 대한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</si>
  <si>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Q2_02_ID_3</t>
  </si>
  <si>
    <r>
      <rPr>
        <sz val="10"/>
        <rFont val="Noto Sans CJK SC"/>
        <family val="2"/>
      </rPr>
      <t xml:space="preserve">무언가를 알게 되고 달라진 순간들이 있었기에 ‘배움’이라는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다른 방향의 이야기도 함께 건네고 있었습니다</t>
    </r>
    <r>
      <rPr>
        <sz val="10"/>
        <rFont val="맑은 고딕"/>
        <family val="0"/>
        <charset val="1"/>
      </rPr>
      <t xml:space="preserve">.</t>
    </r>
  </si>
  <si>
    <t xml:space="preserve">Q2_02_ID_4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</si>
  <si>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배움’이라고 느낀 당신의 한 해가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나란히 놓으면 올해가 조금 더 입체적으로 보여요</t>
    </r>
    <r>
      <rPr>
        <sz val="10"/>
        <rFont val="맑은 고딕"/>
        <family val="0"/>
        <charset val="1"/>
      </rPr>
      <t xml:space="preserve">.</t>
    </r>
  </si>
  <si>
    <t xml:space="preserve">Q2_02_ID_5</t>
  </si>
  <si>
    <r>
      <rPr>
        <sz val="10"/>
        <rFont val="Noto Sans CJK SC"/>
        <family val="2"/>
      </rPr>
      <t xml:space="preserve">하루하루에서 무언가를 배워 온 사람의 답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배움이 뿌리내릴 자리에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</si>
  <si>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Q2_02_CL_2</t>
  </si>
  <si>
    <r>
      <rPr>
        <sz val="10"/>
        <rFont val="Noto Sans CJK SC"/>
        <family val="2"/>
      </rPr>
      <t xml:space="preserve">배운 것은 써 볼 때 비로소 내 것이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알게 된 것 하나를 누군가에게 짧게 들려주는 것부터 해 보세요</t>
    </r>
    <r>
      <rPr>
        <sz val="10"/>
        <rFont val="맑은 고딕"/>
        <family val="0"/>
        <charset val="1"/>
      </rPr>
      <t xml:space="preserve">.</t>
    </r>
  </si>
  <si>
    <t xml:space="preserve">Q2_02_CL_3</t>
  </si>
  <si>
    <r>
      <rPr>
        <sz val="10"/>
        <rFont val="Noto Sans CJK SC"/>
        <family val="2"/>
      </rPr>
      <t xml:space="preserve">다 익히지 못한 것이 남아 있어도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중이라는 것 자체가 올해 당신이 자라고 있었다는 증거입니다</t>
    </r>
    <r>
      <rPr>
        <sz val="10"/>
        <rFont val="맑은 고딕"/>
        <family val="0"/>
        <charset val="1"/>
      </rPr>
      <t xml:space="preserve">.</t>
    </r>
  </si>
  <si>
    <t xml:space="preserve">Q2_02_CL_4</t>
  </si>
  <si>
    <r>
      <rPr>
        <sz val="10"/>
        <rFont val="Noto Sans CJK SC"/>
        <family val="2"/>
      </rPr>
      <t xml:space="preserve">올해 가장 오래 붙잡았던 질문을 한 줄로 적어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질문이 내년의 배움을 고르는 나침반이 되어 줄 수 있어요</t>
    </r>
    <r>
      <rPr>
        <sz val="10"/>
        <rFont val="맑은 고딕"/>
        <family val="0"/>
        <charset val="1"/>
      </rPr>
      <t xml:space="preserve">.</t>
    </r>
  </si>
  <si>
    <t xml:space="preserve">Q2_02_CL_5</t>
  </si>
  <si>
    <r>
      <rPr>
        <sz val="10"/>
        <rFont val="Noto Sans CJK SC"/>
        <family val="2"/>
      </rPr>
      <t xml:space="preserve">배움에는 쉬어 가는 시간도 포함됩니다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채우기 전에 올해 배운 것을 한 번 천천히 돌아보는 시간을 가져 보세요</t>
    </r>
    <r>
      <rPr>
        <sz val="10"/>
        <rFont val="맑은 고딕"/>
        <family val="0"/>
        <charset val="1"/>
      </rPr>
      <t xml:space="preserve">.</t>
    </r>
  </si>
  <si>
    <t xml:space="preserve">Q2_03_IM_2</t>
  </si>
  <si>
    <r>
      <rPr>
        <sz val="10"/>
        <rFont val="Noto Sans CJK SC"/>
        <family val="2"/>
      </rPr>
      <t xml:space="preserve">하늘도 올해를 익숙한 것이 자리를 바꾸는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당신의 답과 겹치는 대목입니다</t>
    </r>
    <r>
      <rPr>
        <sz val="10"/>
        <rFont val="맑은 고딕"/>
        <family val="0"/>
        <charset val="1"/>
      </rPr>
      <t xml:space="preserve">.</t>
    </r>
  </si>
  <si>
    <t xml:space="preserve">Q2_03_IM_3</t>
  </si>
  <si>
    <r>
      <rPr>
        <sz val="10"/>
        <rFont val="Noto Sans CJK SC"/>
        <family val="2"/>
      </rPr>
      <t xml:space="preserve">많은 것이 움직인 한 해였나 봅니다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답처럼 하늘도 새 자리를 향해 흐름이 바뀌는 모습을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</si>
  <si>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Q2_03_IM_4</t>
  </si>
  <si>
    <r>
      <rPr>
        <sz val="10"/>
        <rFont val="Noto Sans CJK SC"/>
        <family val="2"/>
      </rPr>
      <t xml:space="preserve">‘변화’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올해를 설명할 때 쓰는 말과도 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새 제안이 함께 찾아오는 해로 읽혀요</t>
    </r>
    <r>
      <rPr>
        <sz val="10"/>
        <rFont val="맑은 고딕"/>
        <family val="0"/>
        <charset val="1"/>
      </rPr>
      <t xml:space="preserve">.</t>
    </r>
  </si>
  <si>
    <t xml:space="preserve">Q2_03_IM_5</t>
  </si>
  <si>
    <r>
      <rPr>
        <sz val="10"/>
        <rFont val="Noto Sans CJK SC"/>
        <family val="2"/>
      </rPr>
      <t xml:space="preserve">바람의 방향이 바뀌듯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하늘에도 큰 전환이 지나가고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한가운데에서 ‘변화’를 고른 당신의 감각이 정확합니다</t>
    </r>
    <r>
      <rPr>
        <sz val="10"/>
        <rFont val="맑은 고딕"/>
        <family val="0"/>
        <charset val="1"/>
      </rPr>
      <t xml:space="preserve">.</t>
    </r>
  </si>
  <si>
    <t xml:space="preserve">Q2_03_ID_2</t>
  </si>
  <si>
    <r>
      <rPr>
        <sz val="10"/>
        <rFont val="Noto Sans CJK SC"/>
        <family val="2"/>
      </rPr>
      <t xml:space="preserve">올해를 ‘변화’로 느꼈다면 그 느낌이 가장 믿을 만한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사이에도 변하지 않고 나를 지켜 준 것에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</si>
  <si>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Q2_03_ID_3</t>
  </si>
  <si>
    <r>
      <rPr>
        <sz val="10"/>
        <rFont val="Noto Sans CJK SC"/>
        <family val="2"/>
      </rPr>
      <t xml:space="preserve">무언가 달라졌다는 감각이 ‘변화’라는 답에 그대로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서두르지 않고 다지는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</si>
  <si>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Q2_03_ID_4</t>
  </si>
  <si>
    <r>
      <rPr>
        <sz val="10"/>
        <rFont val="Noto Sans CJK SC"/>
        <family val="2"/>
      </rPr>
      <t xml:space="preserve">겉으로는 잔잔해 보여도 안에서는 많은 것이 움직였을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당신의 감각을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비추는 다른 결도 함께 살펴보겠습니다</t>
    </r>
    <r>
      <rPr>
        <sz val="10"/>
        <rFont val="맑은 고딕"/>
        <family val="0"/>
        <charset val="1"/>
      </rPr>
      <t xml:space="preserve">.</t>
    </r>
  </si>
  <si>
    <t xml:space="preserve">Q2_03_ID_5</t>
  </si>
  <si>
    <r>
      <rPr>
        <sz val="10"/>
        <rFont val="Noto Sans CJK SC"/>
        <family val="2"/>
      </rPr>
      <t xml:space="preserve">몸으로 겪은 것은 하늘의 그림보다 먼저 알아차릴 때가 많습니다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마음을 믿으면서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이야기도 가볍게 곁에 두어 보세요</t>
    </r>
    <r>
      <rPr>
        <sz val="10"/>
        <rFont val="맑은 고딕"/>
        <family val="0"/>
        <charset val="1"/>
      </rPr>
      <t xml:space="preserve">.</t>
    </r>
  </si>
  <si>
    <t xml:space="preserve">Q2_03_CL_2</t>
  </si>
  <si>
    <r>
      <rPr>
        <sz val="10"/>
        <rFont val="Noto Sans CJK SC"/>
        <family val="2"/>
      </rPr>
      <t xml:space="preserve">달라진 것들 사이에서 그대로 남은 것을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것과 지켜 낸 것을 함께 볼 때 다음 방향이 조금 더 선명해집니다</t>
    </r>
    <r>
      <rPr>
        <sz val="10"/>
        <rFont val="맑은 고딕"/>
        <family val="0"/>
        <charset val="1"/>
      </rPr>
      <t xml:space="preserve">.</t>
    </r>
  </si>
  <si>
    <t xml:space="preserve">Q2_03_CL_3</t>
  </si>
  <si>
    <r>
      <rPr>
        <sz val="10"/>
        <rFont val="Noto Sans CJK SC"/>
        <family val="2"/>
      </rPr>
      <t xml:space="preserve">변화가 반가웠든 낯설었든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한가운데를 지나온 건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새로 생긴 습관이나 마음 하나에 이름을 붙여 보는 것도 좋습니다</t>
    </r>
    <r>
      <rPr>
        <sz val="10"/>
        <rFont val="맑은 고딕"/>
        <family val="0"/>
        <charset val="1"/>
      </rPr>
      <t xml:space="preserve">.</t>
    </r>
  </si>
  <si>
    <t xml:space="preserve">Q2_03_CL_4</t>
  </si>
  <si>
    <r>
      <rPr>
        <sz val="10"/>
        <rFont val="Noto Sans CJK SC"/>
        <family val="2"/>
      </rPr>
      <t xml:space="preserve">흔들린 만큼 새로 놓인 자리도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처음 해 본 일을 하나 떠올리며 그때의 나를 칭찬해 주세요</t>
    </r>
    <r>
      <rPr>
        <sz val="10"/>
        <rFont val="맑은 고딕"/>
        <family val="0"/>
        <charset val="1"/>
      </rPr>
      <t xml:space="preserve">.</t>
    </r>
  </si>
  <si>
    <t xml:space="preserve">Q2_03_CL_5</t>
  </si>
  <si>
    <r>
      <rPr>
        <sz val="10"/>
        <rFont val="Noto Sans CJK SC"/>
        <family val="2"/>
      </rPr>
      <t xml:space="preserve">변화 속에서는 속도를 늦추는 것도 하나의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바뀐 것들이 자리를 잡도록 일정을 조금 비워 두셔도 괜찮습니다</t>
    </r>
    <r>
      <rPr>
        <sz val="10"/>
        <rFont val="맑은 고딕"/>
        <family val="0"/>
        <charset val="1"/>
      </rPr>
      <t xml:space="preserve">.</t>
    </r>
  </si>
  <si>
    <t xml:space="preserve">Q2_04_IM_2</t>
  </si>
  <si>
    <r>
      <rPr>
        <sz val="10"/>
        <rFont val="Noto Sans CJK SC"/>
        <family val="2"/>
      </rPr>
      <t xml:space="preserve">하늘도 올해를 잠깐 걸음을 늦추고 안을 돌보는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답과 꼭 맞는 흐름입니다</t>
    </r>
    <r>
      <rPr>
        <sz val="10"/>
        <rFont val="맑은 고딕"/>
        <family val="0"/>
        <charset val="1"/>
      </rPr>
      <t xml:space="preserve">.</t>
    </r>
  </si>
  <si>
    <t xml:space="preserve">Q2_04_IM_3</t>
  </si>
  <si>
    <r>
      <rPr>
        <sz val="10"/>
        <rFont val="Noto Sans CJK SC"/>
        <family val="2"/>
      </rPr>
      <t xml:space="preserve">서 있는 동안에도 많은 것을 느끼셨을 것 같아요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‘멈춤’ 속에서 방향을 다시 살피는 시간으로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</si>
  <si>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Q2_04_IM_4</t>
  </si>
  <si>
    <r>
      <rPr>
        <sz val="10"/>
        <rFont val="Noto Sans CJK SC"/>
        <family val="2"/>
      </rPr>
      <t xml:space="preserve">‘멈춤’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올해에 붙인 이름과 닮았습니다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머무르며 정리하는 흐름이 보였어요</t>
    </r>
    <r>
      <rPr>
        <sz val="10"/>
        <rFont val="맑은 고딕"/>
        <family val="0"/>
        <charset val="1"/>
      </rPr>
      <t xml:space="preserve">.</t>
    </r>
  </si>
  <si>
    <t xml:space="preserve">Q2_04_IM_5</t>
  </si>
  <si>
    <r>
      <rPr>
        <sz val="10"/>
        <rFont val="Noto Sans CJK SC"/>
        <family val="2"/>
      </rPr>
      <t xml:space="preserve">올해의 하늘은 신호등 앞에서 잠시 기다리는 장면 같았어요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장면에 ‘멈춤’이라는 당신의 답이 자연스럽게 겹칩니다</t>
    </r>
    <r>
      <rPr>
        <sz val="10"/>
        <rFont val="맑은 고딕"/>
        <family val="0"/>
        <charset val="1"/>
      </rPr>
      <t xml:space="preserve">.</t>
    </r>
  </si>
  <si>
    <t xml:space="preserve">Q2_04_ID_2</t>
  </si>
  <si>
    <r>
      <rPr>
        <sz val="10"/>
        <rFont val="Noto Sans CJK SC"/>
        <family val="2"/>
      </rPr>
      <t xml:space="preserve">올해를 ‘멈춤’으로 기억한다면 그만큼 마음이 쉬어 갈 곳이 필요했다는 뜻이에요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작은 것부터 다시 고르는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</si>
  <si>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Q2_04_ID_3</t>
  </si>
  <si>
    <r>
      <rPr>
        <sz val="10"/>
        <rFont val="Noto Sans CJK SC"/>
        <family val="2"/>
      </rPr>
      <t xml:space="preserve">멈춰 선 시간의 무게는 겪은 사람이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장면 하나를 더 보여 주고 있었어요</t>
    </r>
    <r>
      <rPr>
        <sz val="10"/>
        <rFont val="맑은 고딕"/>
        <family val="0"/>
        <charset val="1"/>
      </rPr>
      <t xml:space="preserve">.</t>
    </r>
  </si>
  <si>
    <t xml:space="preserve">Q2_04_ID_4</t>
  </si>
  <si>
    <r>
      <rPr>
        <sz val="10"/>
        <rFont val="Noto Sans CJK SC"/>
        <family val="2"/>
      </rPr>
      <t xml:space="preserve">바깥의 흐름은 꽤 분주했을지 몰라도 마음은 멈춰 서 있었을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당신의 감각이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참고로 곁에 두면 충분합니다</t>
    </r>
    <r>
      <rPr>
        <sz val="10"/>
        <rFont val="맑은 고딕"/>
        <family val="0"/>
        <charset val="1"/>
      </rPr>
      <t xml:space="preserve">.</t>
    </r>
  </si>
  <si>
    <t xml:space="preserve">Q2_04_ID_5</t>
  </si>
  <si>
    <r>
      <rPr>
        <sz val="10"/>
        <rFont val="Noto Sans CJK SC"/>
        <family val="2"/>
      </rPr>
      <t xml:space="preserve">걸음을 멈추고 싶을 만큼의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천천히 차오르던 힘에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</si>
  <si>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Q2_04_CL_2</t>
  </si>
  <si>
    <r>
      <rPr>
        <sz val="10"/>
        <rFont val="Noto Sans CJK SC"/>
        <family val="2"/>
      </rPr>
      <t xml:space="preserve">멈춰 있던 동안 보인 것들이 분명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적어 두면 다시 걸을 때 좋은 이정표가 되어 줄 수 있어요</t>
    </r>
    <r>
      <rPr>
        <sz val="10"/>
        <rFont val="맑은 고딕"/>
        <family val="0"/>
        <charset val="1"/>
      </rPr>
      <t xml:space="preserve">.</t>
    </r>
  </si>
  <si>
    <t xml:space="preserve">Q2_04_CL_3</t>
  </si>
  <si>
    <r>
      <rPr>
        <sz val="10"/>
        <rFont val="Noto Sans CJK SC"/>
        <family val="2"/>
      </rPr>
      <t xml:space="preserve">쉬는 것도 한 해를 사는 방식이에요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움직이고 싶어질 때까지 지금의 속도를 그대로 허락해 주셔도 됩니다</t>
    </r>
    <r>
      <rPr>
        <sz val="10"/>
        <rFont val="맑은 고딕"/>
        <family val="0"/>
        <charset val="1"/>
      </rPr>
      <t xml:space="preserve">.</t>
    </r>
  </si>
  <si>
    <t xml:space="preserve">Q2_04_CL_4</t>
  </si>
  <si>
    <r>
      <rPr>
        <sz val="10"/>
        <rFont val="Noto Sans CJK SC"/>
        <family val="2"/>
      </rPr>
      <t xml:space="preserve">다시 걷는 첫걸음은 작을수록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내킬 때 할 수 있는 아주 작은 일 하나만 정해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</si>
  <si>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Q2_04_CL_5</t>
  </si>
  <si>
    <r>
      <rPr>
        <sz val="10"/>
        <rFont val="Noto Sans CJK SC"/>
        <family val="2"/>
      </rPr>
      <t xml:space="preserve">멈춤이 길게 느껴졌다면 그만큼 나에게 필요한 시간이었을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쉼이 무엇을 지켜 주었는지 돌아보는 것으로 이 해를 마무리해도 좋습니다</t>
    </r>
    <r>
      <rPr>
        <sz val="10"/>
        <rFont val="맑은 고딕"/>
        <family val="0"/>
        <charset val="1"/>
      </rPr>
      <t xml:space="preserve">.</t>
    </r>
  </si>
  <si>
    <t xml:space="preserve">Q2_05_IM_2</t>
  </si>
  <si>
    <r>
      <rPr>
        <sz val="10"/>
        <rFont val="Noto Sans CJK SC"/>
        <family val="2"/>
      </rPr>
      <t xml:space="preserve">하늘도 올해를 노력이 결과로 맺히는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성취’라는 답에 고개가 끄덕여지는 이유입니다</t>
    </r>
    <r>
      <rPr>
        <sz val="10"/>
        <rFont val="맑은 고딕"/>
        <family val="0"/>
        <charset val="1"/>
      </rPr>
      <t xml:space="preserve">.</t>
    </r>
  </si>
  <si>
    <t xml:space="preserve">Q2_05_IM_3</t>
  </si>
  <si>
    <r>
      <rPr>
        <sz val="10"/>
        <rFont val="Noto Sans CJK SC"/>
        <family val="2"/>
      </rPr>
      <t xml:space="preserve">무언가를 손에 쥔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‘성취’처럼 애쓴 만큼 인정과 결실이 돌아오는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</si>
  <si>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Q2_05_IM_4</t>
  </si>
  <si>
    <r>
      <rPr>
        <sz val="10"/>
        <rFont val="Noto Sans CJK SC"/>
        <family val="2"/>
      </rPr>
      <t xml:space="preserve">‘성취’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올해의 하늘과 잘 어울리는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계단을 하나 올라선 듯한 흐름이 보였어요</t>
    </r>
    <r>
      <rPr>
        <sz val="10"/>
        <rFont val="맑은 고딕"/>
        <family val="0"/>
        <charset val="1"/>
      </rPr>
      <t xml:space="preserve">.</t>
    </r>
  </si>
  <si>
    <t xml:space="preserve">Q2_05_IM_5</t>
  </si>
  <si>
    <r>
      <rPr>
        <sz val="10"/>
        <rFont val="Noto Sans CJK SC"/>
        <family val="2"/>
      </rPr>
      <t xml:space="preserve">올해 하늘은 씨앗이 열매가 되는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당신이 고른 ‘성취’가 정확히 맞닿아 있습니다</t>
    </r>
    <r>
      <rPr>
        <sz val="10"/>
        <rFont val="맑은 고딕"/>
        <family val="0"/>
        <charset val="1"/>
      </rPr>
      <t xml:space="preserve">.</t>
    </r>
  </si>
  <si>
    <t xml:space="preserve">Q2_05_ID_2</t>
  </si>
  <si>
    <r>
      <rPr>
        <sz val="10"/>
        <rFont val="Noto Sans CJK SC"/>
        <family val="2"/>
      </rPr>
      <t xml:space="preserve">올해를 ‘성취’로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결과 뒤에서 나를 돌보는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</si>
  <si>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Q2_05_ID_3</t>
  </si>
  <si>
    <r>
      <rPr>
        <sz val="10"/>
        <rFont val="Noto Sans CJK SC"/>
        <family val="2"/>
      </rPr>
      <t xml:space="preserve">해낸 것이 있었기에 ‘성취’라는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더 느린 리듬에 대한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</si>
  <si>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Q2_05_ID_4</t>
  </si>
  <si>
    <r>
      <rPr>
        <sz val="10"/>
        <rFont val="Noto Sans CJK SC"/>
        <family val="2"/>
      </rPr>
      <t xml:space="preserve">하늘이 무엇을 보여 주든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이뤄 낸 ‘성취’의 감각은 당신이 가장 잘 압니다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옆에서 아직 자라는 중인 것들에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</si>
  <si>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Q2_05_ID_5</t>
  </si>
  <si>
    <r>
      <rPr>
        <sz val="10"/>
        <rFont val="Noto Sans CJK SC"/>
        <family val="2"/>
      </rPr>
      <t xml:space="preserve">애쓴 끝에 닿은 자리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그 답을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다음을 위해 힘을 모아 두는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</si>
  <si>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Q2_05_CL_2</t>
  </si>
  <si>
    <r>
      <rPr>
        <sz val="10"/>
        <rFont val="Noto Sans CJK SC"/>
        <family val="2"/>
      </rPr>
      <t xml:space="preserve">이룬 것 뒤에는 늘 버텨 준 습관이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도운 습관 하나를 내년에도 데려가 보세요</t>
    </r>
    <r>
      <rPr>
        <sz val="10"/>
        <rFont val="맑은 고딕"/>
        <family val="0"/>
        <charset val="1"/>
      </rPr>
      <t xml:space="preserve">.</t>
    </r>
  </si>
  <si>
    <t xml:space="preserve">Q2_05_CL_3</t>
  </si>
  <si>
    <r>
      <rPr>
        <sz val="10"/>
        <rFont val="Noto Sans CJK SC"/>
        <family val="2"/>
      </rPr>
      <t xml:space="preserve">성취를 축하하는 일은 미루지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작게라도 나만의 방식으로 올해를 기념하는 시간을 가져도 좋습니다</t>
    </r>
    <r>
      <rPr>
        <sz val="10"/>
        <rFont val="맑은 고딕"/>
        <family val="0"/>
        <charset val="1"/>
      </rPr>
      <t xml:space="preserve">.</t>
    </r>
  </si>
  <si>
    <t xml:space="preserve">Q2_05_CL_4</t>
  </si>
  <si>
    <r>
      <rPr>
        <sz val="10"/>
        <rFont val="Noto Sans CJK SC"/>
        <family val="2"/>
      </rPr>
      <t xml:space="preserve">결과만큼 그 과정에서 달라진 나도 올해의 성취입니다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해냈는지와 함께 어떤 사람이 되었는지도 적어 보세요</t>
    </r>
    <r>
      <rPr>
        <sz val="10"/>
        <rFont val="맑은 고딕"/>
        <family val="0"/>
        <charset val="1"/>
      </rPr>
      <t xml:space="preserve">.</t>
    </r>
  </si>
  <si>
    <t xml:space="preserve">Q2_05_CL_5</t>
  </si>
  <si>
    <r>
      <rPr>
        <sz val="10"/>
        <rFont val="Noto Sans CJK SC"/>
        <family val="2"/>
      </rPr>
      <t xml:space="preserve">다음 목표는 조금 숨을 고른 뒤에 세워도 늦지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여기까지 데려온 마음을 먼저 기억해 두면 좋습니다</t>
    </r>
    <r>
      <rPr>
        <sz val="10"/>
        <rFont val="맑은 고딕"/>
        <family val="0"/>
        <charset val="1"/>
      </rPr>
      <t xml:space="preserve">.</t>
    </r>
  </si>
  <si>
    <t xml:space="preserve">Q2_06_IM_2</t>
  </si>
  <si>
    <r>
      <rPr>
        <sz val="10"/>
        <rFont val="Noto Sans CJK SC"/>
        <family val="2"/>
      </rPr>
      <t xml:space="preserve">하늘도 올해를 익숙한 것과 작별하는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말을 고르기까지 마음이 많이 무거웠을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</si>
  <si>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이별의 대상을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끝내라는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극복 압박 없이 썼습니다</t>
    </r>
    <r>
      <rPr>
        <sz val="10"/>
        <rFont val="맑은 고딕"/>
        <family val="0"/>
        <charset val="1"/>
      </rPr>
      <t xml:space="preserve">.</t>
    </r>
  </si>
  <si>
    <t xml:space="preserve">Q2_06_IM_3</t>
  </si>
  <si>
    <r>
      <rPr>
        <sz val="10"/>
        <rFont val="Noto Sans CJK SC"/>
        <family val="2"/>
      </rPr>
      <t xml:space="preserve">무언가를 떠나보낸 시간이 ‘이별’이라는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정든 것과 거리가 생기는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</si>
  <si>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Q2_06_IM_4</t>
  </si>
  <si>
    <r>
      <rPr>
        <sz val="10"/>
        <rFont val="Noto Sans CJK SC"/>
        <family val="2"/>
      </rPr>
      <t xml:space="preserve">‘이별’을 고른 마음을 조심스럽게 받아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한 시절이 저물고 자리가 비워지는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</si>
  <si>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Q2_06_IM_5</t>
  </si>
  <si>
    <r>
      <rPr>
        <sz val="10"/>
        <rFont val="Noto Sans CJK SC"/>
        <family val="2"/>
      </rPr>
      <t xml:space="preserve">올해의 하늘은 문 하나가 조용히 닫히는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앞에서 ‘이별’이라고 답한 마음의 무게를 조용히 헤아려 봅니다</t>
    </r>
    <r>
      <rPr>
        <sz val="10"/>
        <rFont val="맑은 고딕"/>
        <family val="0"/>
        <charset val="1"/>
      </rPr>
      <t xml:space="preserve">.</t>
    </r>
  </si>
  <si>
    <t xml:space="preserve">Q2_06_ID_2</t>
  </si>
  <si>
    <r>
      <rPr>
        <sz val="10"/>
        <rFont val="Noto Sans CJK SC"/>
        <family val="2"/>
      </rPr>
      <t xml:space="preserve">올해를 ‘이별’로 기억한다면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마음이 쉬어 갈 자리에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</si>
  <si>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Q2_06_ID_3</t>
  </si>
  <si>
    <r>
      <rPr>
        <sz val="10"/>
        <rFont val="Noto Sans CJK SC"/>
        <family val="2"/>
      </rPr>
      <t xml:space="preserve">떠나보낸 것의 무게는 겪은 사람만이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당신의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마음이 허락할 때 천천히 들어도 괜찮아요</t>
    </r>
    <r>
      <rPr>
        <sz val="10"/>
        <rFont val="맑은 고딕"/>
        <family val="0"/>
        <charset val="1"/>
      </rPr>
      <t xml:space="preserve">.</t>
    </r>
  </si>
  <si>
    <t xml:space="preserve">Q2_06_ID_4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</si>
  <si>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이별’을 지나온 당신의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이야기는 지금 꼭 받아들이지 않아도 괜찮아요</t>
    </r>
    <r>
      <rPr>
        <sz val="10"/>
        <rFont val="맑은 고딕"/>
        <family val="0"/>
        <charset val="1"/>
      </rPr>
      <t xml:space="preserve">.</t>
    </r>
  </si>
  <si>
    <t xml:space="preserve">Q2_06_ID_5</t>
  </si>
  <si>
    <r>
      <rPr>
        <sz val="10"/>
        <rFont val="Noto Sans CJK SC"/>
        <family val="2"/>
      </rPr>
      <t xml:space="preserve">무언가와 작별한 한 해였다면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그 말보다 정확한 것은 없습니다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끊어지지 않고 남아 있던 작은 연결들에 대해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</si>
  <si>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Q2_06_CL_2</t>
  </si>
  <si>
    <r>
      <rPr>
        <sz val="10"/>
        <rFont val="Noto Sans CJK SC"/>
        <family val="2"/>
      </rPr>
      <t xml:space="preserve">이별의 마음은 정해진 속도 없이 오고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그리운 날이 있다면 그리워하는 것도 괜찮아요</t>
    </r>
    <r>
      <rPr>
        <sz val="10"/>
        <rFont val="맑은 고딕"/>
        <family val="0"/>
        <charset val="1"/>
      </rPr>
      <t xml:space="preserve">.</t>
    </r>
  </si>
  <si>
    <t xml:space="preserve">Q2_06_CL_3</t>
  </si>
  <si>
    <r>
      <rPr>
        <sz val="10"/>
        <rFont val="Noto Sans CJK SC"/>
        <family val="2"/>
      </rPr>
      <t xml:space="preserve">아픈 마음을 정리하려 애쓰지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따뜻한 것을 마시며 나를 조금 돌봐 주는 것만으로 충분해요</t>
    </r>
    <r>
      <rPr>
        <sz val="10"/>
        <rFont val="맑은 고딕"/>
        <family val="0"/>
        <charset val="1"/>
      </rPr>
      <t xml:space="preserve">.</t>
    </r>
  </si>
  <si>
    <t xml:space="preserve">Q2_06_CL_4</t>
  </si>
  <si>
    <r>
      <rPr>
        <sz val="10"/>
        <rFont val="Noto Sans CJK SC"/>
        <family val="2"/>
      </rPr>
      <t xml:space="preserve">혼자 감당하기 무거운 날에는 믿을 만한 사람에게 마음을 조금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있어 주는 사람이 있다는 것만으로도 숨이 조금 편해질 수 있습니다</t>
    </r>
    <r>
      <rPr>
        <sz val="10"/>
        <rFont val="맑은 고딕"/>
        <family val="0"/>
        <charset val="1"/>
      </rPr>
      <t xml:space="preserve">.</t>
    </r>
  </si>
  <si>
    <t xml:space="preserve">Q2_06_CL_5</t>
  </si>
  <si>
    <r>
      <rPr>
        <sz val="10"/>
        <rFont val="Noto Sans CJK SC"/>
        <family val="2"/>
      </rPr>
      <t xml:space="preserve">마음이 조금 가라앉은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곁에 남아 있는 것들을 천천히 둘러봐도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 나를 편하게 해 준 것 하나만 기억해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</si>
  <si>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Q2_07_IM_2</t>
  </si>
  <si>
    <r>
      <rPr>
        <sz val="10"/>
        <rFont val="Noto Sans CJK SC"/>
        <family val="2"/>
      </rPr>
      <t xml:space="preserve">하늘도 올해를 어깨가 무거운 해로 읽고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말이 그냥 나온 것이 아니었다는 뜻입니다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</si>
  <si>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수고를 먼저 인정하고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기대기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</si>
  <si>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Q2_07_IM_3</t>
  </si>
  <si>
    <r>
      <rPr>
        <sz val="10"/>
        <rFont val="Noto Sans CJK SC"/>
        <family val="2"/>
      </rPr>
      <t xml:space="preserve">쉽지 않은 날이 많았다는 게 ‘고생’이라는 한 단어에서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애쓰는 만큼 짐도 함께 지는 흐름으로 그리고 있었어요</t>
    </r>
    <r>
      <rPr>
        <sz val="10"/>
        <rFont val="맑은 고딕"/>
        <family val="0"/>
        <charset val="1"/>
      </rPr>
      <t xml:space="preserve">.</t>
    </r>
  </si>
  <si>
    <t xml:space="preserve">Q2_07_IM_4</t>
  </si>
  <si>
    <r>
      <rPr>
        <sz val="10"/>
        <rFont val="Noto Sans CJK SC"/>
        <family val="2"/>
      </rPr>
      <t xml:space="preserve">‘고생’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 그대로의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해야 할 일과 책임이 겹겹이 쌓이는 흐름이 보였습니다</t>
    </r>
    <r>
      <rPr>
        <sz val="10"/>
        <rFont val="맑은 고딕"/>
        <family val="0"/>
        <charset val="1"/>
      </rPr>
      <t xml:space="preserve">.</t>
    </r>
  </si>
  <si>
    <t xml:space="preserve">Q2_07_IM_5</t>
  </si>
  <si>
    <r>
      <rPr>
        <sz val="10"/>
        <rFont val="Noto Sans CJK SC"/>
        <family val="2"/>
      </rPr>
      <t xml:space="preserve">오르막길이 길게 이어지는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그렇게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길을 걸어온 당신이 ‘고생’이라고 답한 건 너무나 자연스러워요</t>
    </r>
    <r>
      <rPr>
        <sz val="10"/>
        <rFont val="맑은 고딕"/>
        <family val="0"/>
        <charset val="1"/>
      </rPr>
      <t xml:space="preserve">.</t>
    </r>
  </si>
  <si>
    <t xml:space="preserve">Q2_07_ID_2</t>
  </si>
  <si>
    <r>
      <rPr>
        <sz val="10"/>
        <rFont val="Noto Sans CJK SC"/>
        <family val="2"/>
      </rPr>
      <t xml:space="preserve">올해를 ‘고생’으로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짐을 내려놓을 수 있는 순간들에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</si>
  <si>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Q2_07_ID_3</t>
  </si>
  <si>
    <r>
      <rPr>
        <sz val="10"/>
        <rFont val="Noto Sans CJK SC"/>
        <family val="2"/>
      </rPr>
      <t xml:space="preserve">누가 알아주지 않아도 애쓴 시간은 분명히 있었습니다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당신의 말을 그대로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들려주는 다른 이야기도 하나 조심스럽게 꺼내 볼게요</t>
    </r>
    <r>
      <rPr>
        <sz val="10"/>
        <rFont val="맑은 고딕"/>
        <family val="0"/>
        <charset val="1"/>
      </rPr>
      <t xml:space="preserve">.</t>
    </r>
  </si>
  <si>
    <t xml:space="preserve">Q2_07_ID_4</t>
  </si>
  <si>
    <r>
      <rPr>
        <sz val="10"/>
        <rFont val="Noto Sans CJK SC"/>
        <family val="2"/>
      </rPr>
      <t xml:space="preserve">같은 하늘 아래에서도 한 해의 무게는 사람마다 다르게 느껴집니다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고생’을 지나온 당신의 체감이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그다음에 들어도 늦지 않아요</t>
    </r>
    <r>
      <rPr>
        <sz val="10"/>
        <rFont val="맑은 고딕"/>
        <family val="0"/>
        <charset val="1"/>
      </rPr>
      <t xml:space="preserve">.</t>
    </r>
  </si>
  <si>
    <t xml:space="preserve">Q2_07_ID_5</t>
  </si>
  <si>
    <r>
      <rPr>
        <sz val="10"/>
        <rFont val="Noto Sans CJK SC"/>
        <family val="2"/>
      </rPr>
      <t xml:space="preserve">쉬지 못하고 달려온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당신을 돕던 손길에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</si>
  <si>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Q2_07_CL_2</t>
  </si>
  <si>
    <r>
      <rPr>
        <sz val="10"/>
        <rFont val="Noto Sans CJK SC"/>
        <family val="2"/>
      </rPr>
      <t xml:space="preserve">오늘은 나에게 해야 할 일 대신 쉴 시간을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고생한 시간을 증명하려 애쓰지 않아도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수고는 이미 충분했습니다</t>
    </r>
    <r>
      <rPr>
        <sz val="10"/>
        <rFont val="맑은 고딕"/>
        <family val="0"/>
        <charset val="1"/>
      </rPr>
      <t xml:space="preserve">.</t>
    </r>
  </si>
  <si>
    <t xml:space="preserve">Q2_07_CL_3</t>
  </si>
  <si>
    <r>
      <rPr>
        <sz val="10"/>
        <rFont val="Noto Sans CJK SC"/>
        <family val="2"/>
      </rPr>
      <t xml:space="preserve">지친 마음은 혼자 들고 있을 때 더 무거워집니다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올해 힘들었다고 한마디 털어놓는 것만으로도 조금 가벼워질 수 있어요</t>
    </r>
    <r>
      <rPr>
        <sz val="10"/>
        <rFont val="맑은 고딕"/>
        <family val="0"/>
        <charset val="1"/>
      </rPr>
      <t xml:space="preserve">.</t>
    </r>
  </si>
  <si>
    <t xml:space="preserve">Q2_07_CL_4</t>
  </si>
  <si>
    <r>
      <rPr>
        <sz val="10"/>
        <rFont val="Noto Sans CJK SC"/>
        <family val="2"/>
      </rPr>
      <t xml:space="preserve">고생이 끝났는지 아직 이어지는지와 상관없이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피로를 돌보는 것이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시간을 조금 앞당기는 것처럼 작은 쉼부터 챙겨 보셔도 좋습니다</t>
    </r>
    <r>
      <rPr>
        <sz val="10"/>
        <rFont val="맑은 고딕"/>
        <family val="0"/>
        <charset val="1"/>
      </rPr>
      <t xml:space="preserve">.</t>
    </r>
  </si>
  <si>
    <t xml:space="preserve">Q2_07_CL_5</t>
  </si>
  <si>
    <r>
      <rPr>
        <sz val="10"/>
        <rFont val="Noto Sans CJK SC"/>
        <family val="2"/>
      </rPr>
      <t xml:space="preserve">힘든 한 해를 지나온 것만으로도 충분히 애쓰신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연말의 계획표는 잠시 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쉬게 하는 일 하나만 적어 두셔도 됩니다</t>
    </r>
    <r>
      <rPr>
        <sz val="10"/>
        <rFont val="맑은 고딕"/>
        <family val="0"/>
        <charset val="1"/>
      </rPr>
      <t xml:space="preserve">.</t>
    </r>
  </si>
  <si>
    <t xml:space="preserve">Q2_08_IM_2</t>
  </si>
  <si>
    <r>
      <rPr>
        <sz val="10"/>
        <rFont val="Noto Sans CJK SC"/>
        <family val="2"/>
      </rPr>
      <t xml:space="preserve">하늘도 올해를 힘을 쏟던 자리에서 한 걸음 물러나고 싶어지는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그만하자’라는 말이 나올 만큼 마음이 고단했던 한 해였을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</si>
  <si>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무언가를 그만두라고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 인정과 쉼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</si>
  <si>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Q2_08_IM_3</t>
  </si>
  <si>
    <r>
      <rPr>
        <sz val="10"/>
        <rFont val="Noto Sans CJK SC"/>
        <family val="2"/>
      </rPr>
      <t xml:space="preserve">많이 애쓰고 많이 지친 시간이 ‘그만하자’라는 말에 고스란히 묻어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쉼과 정리가 필요한 해로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</si>
  <si>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Q2_08_IM_4</t>
  </si>
  <si>
    <r>
      <rPr>
        <sz val="10"/>
        <rFont val="Noto Sans CJK SC"/>
        <family val="2"/>
      </rPr>
      <t xml:space="preserve">‘그만하자’는 말에는 그동안의 수고가 다 들어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더 밀어붙이기보다 힘을 거두고 싶어지는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</si>
  <si>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Q2_08_IM_5</t>
  </si>
  <si>
    <r>
      <rPr>
        <sz val="10"/>
        <rFont val="Noto Sans CJK SC"/>
        <family val="2"/>
      </rPr>
      <t xml:space="preserve">긴 길 끝에서 잠시 앉아 쉬고 싶어지는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그런 흐름으로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마음으로 ‘그만하자’를 고른 당신을 충분히 이해합니다</t>
    </r>
    <r>
      <rPr>
        <sz val="10"/>
        <rFont val="맑은 고딕"/>
        <family val="0"/>
        <charset val="1"/>
      </rPr>
      <t xml:space="preserve">.</t>
    </r>
  </si>
  <si>
    <t xml:space="preserve">Q2_08_ID_2</t>
  </si>
  <si>
    <r>
      <rPr>
        <sz val="10"/>
        <rFont val="Noto Sans CJK SC"/>
        <family val="2"/>
      </rPr>
      <t xml:space="preserve">올해를 ‘그만하자’로 정리했다면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지친 마음이 가장 정확한 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당신을 아껴 주는 것들에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</si>
  <si>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Q2_08_ID_3</t>
  </si>
  <si>
    <r>
      <rPr>
        <sz val="10"/>
        <rFont val="Noto Sans CJK SC"/>
        <family val="2"/>
      </rPr>
      <t xml:space="preserve">‘그만하자’는 말이 나오기까지 얼마나 오래 참아 왔을지 다 헤아리기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곁에 다른 이야기 하나를 조용히 놓아 두고 있었어요</t>
    </r>
    <r>
      <rPr>
        <sz val="10"/>
        <rFont val="맑은 고딕"/>
        <family val="0"/>
        <charset val="1"/>
      </rPr>
      <t xml:space="preserve">.</t>
    </r>
  </si>
  <si>
    <t xml:space="preserve">Q2_08_ID_4</t>
  </si>
  <si>
    <r>
      <rPr>
        <sz val="10"/>
        <rFont val="Noto Sans CJK SC"/>
        <family val="2"/>
      </rPr>
      <t xml:space="preserve">지금은 하늘의 이야기보다 당신의 마음이 더 중요합니다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그만하자’라고 느낀 그 마음을 그대로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이야기는 여유가 생길 때 살펴봐도 괜찮아요</t>
    </r>
    <r>
      <rPr>
        <sz val="10"/>
        <rFont val="맑은 고딕"/>
        <family val="0"/>
        <charset val="1"/>
      </rPr>
      <t xml:space="preserve">.</t>
    </r>
  </si>
  <si>
    <t xml:space="preserve">Q2_08_ID_5</t>
  </si>
  <si>
    <r>
      <rPr>
        <sz val="10"/>
        <rFont val="Noto Sans CJK SC"/>
        <family val="2"/>
      </rPr>
      <t xml:space="preserve">오래 버텨 온 끝에 나온 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그만하자’를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당신을 쉬게 해 줄 자리에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</si>
  <si>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Q2_08_CL_2</t>
  </si>
  <si>
    <r>
      <rPr>
        <sz val="10"/>
        <rFont val="Noto Sans CJK SC"/>
        <family val="2"/>
      </rPr>
      <t xml:space="preserve">그만하고 싶다는 마음을 부끄러워하지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하루만큼은 해야 할 일 대신 나를 편하게 하는 일을 하나 골라 보세요</t>
    </r>
    <r>
      <rPr>
        <sz val="10"/>
        <rFont val="맑은 고딕"/>
        <family val="0"/>
        <charset val="1"/>
      </rPr>
      <t xml:space="preserve">.</t>
    </r>
  </si>
  <si>
    <t xml:space="preserve">Q2_08_CL_3</t>
  </si>
  <si>
    <r>
      <rPr>
        <sz val="10"/>
        <rFont val="Noto Sans CJK SC"/>
        <family val="2"/>
      </rPr>
      <t xml:space="preserve">기댈 곳이 있다면 지금 기대도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곁에서 이야기를 들어 주는 것만으로도 마음의 짐이 조금 나뉠 수 있습니다</t>
    </r>
    <r>
      <rPr>
        <sz val="10"/>
        <rFont val="맑은 고딕"/>
        <family val="0"/>
        <charset val="1"/>
      </rPr>
      <t xml:space="preserve">.</t>
    </r>
  </si>
  <si>
    <t xml:space="preserve">Q2_08_CL_4</t>
  </si>
  <si>
    <r>
      <rPr>
        <sz val="10"/>
        <rFont val="Noto Sans CJK SC"/>
        <family val="2"/>
      </rPr>
      <t xml:space="preserve">애써 온 날들이 있었기에 지금 이렇게 지친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잠을 조금 더 자거나 좋아하는 곳에 잠시 머무는 것처럼 아주 작은 쉼 하나를 챙겨 두면 좋겠습니다</t>
    </r>
    <r>
      <rPr>
        <sz val="10"/>
        <rFont val="맑은 고딕"/>
        <family val="0"/>
        <charset val="1"/>
      </rPr>
      <t xml:space="preserve">.</t>
    </r>
  </si>
  <si>
    <t xml:space="preserve">Q2_08_CL_5</t>
  </si>
  <si>
    <r>
      <rPr>
        <sz val="10"/>
        <rFont val="Noto Sans CJK SC"/>
        <family val="2"/>
      </rPr>
      <t xml:space="preserve">내려놓고 싶은 마음이 든다는 건 그만큼 오래 들고 있었다는 뜻이기도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그 무게를 잠시 바닥에 내려놓고 쉬어 가셔도 괜찮아요</t>
    </r>
    <r>
      <rPr>
        <sz val="10"/>
        <rFont val="맑은 고딕"/>
        <family val="0"/>
        <charset val="1"/>
      </rPr>
      <t xml:space="preserve">.</t>
    </r>
  </si>
  <si>
    <t xml:space="preserve">Q2_09_IM_2</t>
  </si>
  <si>
    <r>
      <rPr>
        <sz val="10"/>
        <rFont val="Noto Sans CJK SC"/>
        <family val="2"/>
      </rPr>
      <t xml:space="preserve">하늘도 올해를 새 문이 열리고 첫발을 내딛는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시작’이라는 답과 잘 맞는 흐름입니다</t>
    </r>
    <r>
      <rPr>
        <sz val="10"/>
        <rFont val="맑은 고딕"/>
        <family val="0"/>
        <charset val="1"/>
      </rPr>
      <t xml:space="preserve">.</t>
    </r>
  </si>
  <si>
    <t xml:space="preserve">Q2_09_IM_3</t>
  </si>
  <si>
    <r>
      <rPr>
        <sz val="10"/>
        <rFont val="Noto Sans CJK SC"/>
        <family val="2"/>
      </rPr>
      <t xml:space="preserve">새로운 것에 손을 내민 한 해가 ‘시작’이라는 말에서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새 장을 펼치는 흐름을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</si>
  <si>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Q2_09_IM_4</t>
  </si>
  <si>
    <r>
      <rPr>
        <sz val="10"/>
        <rFont val="Noto Sans CJK SC"/>
        <family val="2"/>
      </rPr>
      <t xml:space="preserve">‘시작’이라는 답이 올해의 하늘과 나란히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씨앗을 심고 첫 줄을 쓰는 흐름이 보였어요</t>
    </r>
    <r>
      <rPr>
        <sz val="10"/>
        <rFont val="맑은 고딕"/>
        <family val="0"/>
        <charset val="1"/>
      </rPr>
      <t xml:space="preserve">.</t>
    </r>
  </si>
  <si>
    <t xml:space="preserve">Q2_09_IM_5</t>
  </si>
  <si>
    <r>
      <rPr>
        <sz val="10"/>
        <rFont val="Noto Sans CJK SC"/>
        <family val="2"/>
      </rPr>
      <t xml:space="preserve">올해의 하늘은 빈 공책의 첫 장을 넘기는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첫 장에 ‘시작’이라고 적은 사람이 바로 당신입니다</t>
    </r>
    <r>
      <rPr>
        <sz val="10"/>
        <rFont val="맑은 고딕"/>
        <family val="0"/>
        <charset val="1"/>
      </rPr>
      <t xml:space="preserve">.</t>
    </r>
  </si>
  <si>
    <t xml:space="preserve">Q2_09_ID_2</t>
  </si>
  <si>
    <r>
      <rPr>
        <sz val="10"/>
        <rFont val="Noto Sans CJK SC"/>
        <family val="2"/>
      </rPr>
      <t xml:space="preserve">올해를 ‘시작’으로 기억한다면 그 감각이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새것이 자리 잡도록 속도를 고르는 이야기도 하고 있었어요</t>
    </r>
    <r>
      <rPr>
        <sz val="10"/>
        <rFont val="맑은 고딕"/>
        <family val="0"/>
        <charset val="1"/>
      </rPr>
      <t xml:space="preserve">.</t>
    </r>
  </si>
  <si>
    <t xml:space="preserve">Q2_09_ID_3</t>
  </si>
  <si>
    <r>
      <rPr>
        <sz val="10"/>
        <rFont val="Noto Sans CJK SC"/>
        <family val="2"/>
      </rPr>
      <t xml:space="preserve">작게라도 첫걸음을 뗐다면 그것만으로 ‘시작’이라는 답은 충분히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뿌리를 내리는 시간에 대한 이야기도 함께 보태고 있었어요</t>
    </r>
    <r>
      <rPr>
        <sz val="10"/>
        <rFont val="맑은 고딕"/>
        <family val="0"/>
        <charset val="1"/>
      </rPr>
      <t xml:space="preserve">.</t>
    </r>
  </si>
  <si>
    <t xml:space="preserve">Q2_09_ID_4</t>
  </si>
  <si>
    <r>
      <rPr>
        <sz val="10"/>
        <rFont val="Noto Sans CJK SC"/>
        <family val="2"/>
      </rPr>
      <t xml:space="preserve">하늘이 그린 올해는 조금 다른 색이었지만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시작’을 직접 겪은 당신의 체감이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겹쳐 보면 지금 시작한 것을 어떻게 키울지 실마리가 보일 수 있습니다</t>
    </r>
    <r>
      <rPr>
        <sz val="10"/>
        <rFont val="맑은 고딕"/>
        <family val="0"/>
        <charset val="1"/>
      </rPr>
      <t xml:space="preserve">.</t>
    </r>
  </si>
  <si>
    <t xml:space="preserve">Q2_09_ID_5</t>
  </si>
  <si>
    <r>
      <rPr>
        <sz val="10"/>
        <rFont val="Noto Sans CJK SC"/>
        <family val="2"/>
      </rPr>
      <t xml:space="preserve">새로운 무언가에 발을 들인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다져지던 기반에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</si>
  <si>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Q2_09_CL_2</t>
  </si>
  <si>
    <r>
      <rPr>
        <sz val="10"/>
        <rFont val="Noto Sans CJK SC"/>
        <family val="2"/>
      </rPr>
      <t xml:space="preserve">시작한 것이 아직 작아 보여도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마음을 한 줄로 적어 두면 흔들릴 때 다시 꺼내 볼 수 있습니다</t>
    </r>
    <r>
      <rPr>
        <sz val="10"/>
        <rFont val="맑은 고딕"/>
        <family val="0"/>
        <charset val="1"/>
      </rPr>
      <t xml:space="preserve">.</t>
    </r>
  </si>
  <si>
    <t xml:space="preserve">Q2_09_CL_3</t>
  </si>
  <si>
    <r>
      <rPr>
        <sz val="10"/>
        <rFont val="Noto Sans CJK SC"/>
        <family val="2"/>
      </rPr>
      <t xml:space="preserve">새로 시작한 일에는 서툰 날도 함께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서툰 순간까지 시작의 일부라고 여겨 주세요</t>
    </r>
    <r>
      <rPr>
        <sz val="10"/>
        <rFont val="맑은 고딕"/>
        <family val="0"/>
        <charset val="1"/>
      </rPr>
      <t xml:space="preserve">.</t>
    </r>
  </si>
  <si>
    <t xml:space="preserve">Q2_09_CL_4</t>
  </si>
  <si>
    <r>
      <rPr>
        <sz val="10"/>
        <rFont val="Noto Sans CJK SC"/>
        <family val="2"/>
      </rPr>
      <t xml:space="preserve">시작은 혼자보다 함께일 때 이어 가기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가까운 사람 한 명에게 이야기해 두는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</si>
  <si>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Q2_09_CL_5</t>
  </si>
  <si>
    <r>
      <rPr>
        <sz val="10"/>
        <rFont val="Noto Sans CJK SC"/>
        <family val="2"/>
      </rPr>
      <t xml:space="preserve">무엇을 시작했는지보다 시작할 수 있었던 나를 먼저 기억해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용기는 다음에 또 다른 문 앞에 설 때도 곁에 남아 있습니다</t>
    </r>
    <r>
      <rPr>
        <sz val="10"/>
        <rFont val="맑은 고딕"/>
        <family val="0"/>
        <charset val="1"/>
      </rPr>
      <t xml:space="preserve">.</t>
    </r>
  </si>
  <si>
    <t xml:space="preserve">Q2_10_IM_2</t>
  </si>
  <si>
    <r>
      <rPr>
        <sz val="10"/>
        <rFont val="Noto Sans CJK SC"/>
        <family val="2"/>
      </rPr>
      <t xml:space="preserve">하늘도 올해를 마음이 들뜨고 새로운 것에 끌리는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답과 같은 결입니다</t>
    </r>
    <r>
      <rPr>
        <sz val="10"/>
        <rFont val="맑은 고딕"/>
        <family val="0"/>
        <charset val="1"/>
      </rPr>
      <t xml:space="preserve">.</t>
    </r>
  </si>
  <si>
    <t xml:space="preserve">Q2_10_IM_3</t>
  </si>
  <si>
    <r>
      <rPr>
        <sz val="10"/>
        <rFont val="Noto Sans CJK SC"/>
        <family val="2"/>
      </rPr>
      <t xml:space="preserve">마음이 두근거린 순간이 ‘설렘’이라는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반가운 제안과 새 관심이 피어나는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</si>
  <si>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Q2_10_IM_4</t>
  </si>
  <si>
    <r>
      <rPr>
        <sz val="10"/>
        <rFont val="Noto Sans CJK SC"/>
        <family val="2"/>
      </rPr>
      <t xml:space="preserve">‘설렘’이라는 답을 보니 올해의 하늘이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창문을 열자 새 바람이 밀려드는 듯한 흐름이었어요</t>
    </r>
    <r>
      <rPr>
        <sz val="10"/>
        <rFont val="맑은 고딕"/>
        <family val="0"/>
        <charset val="1"/>
      </rPr>
      <t xml:space="preserve">.</t>
    </r>
  </si>
  <si>
    <t xml:space="preserve">Q2_10_IM_5</t>
  </si>
  <si>
    <r>
      <rPr>
        <sz val="10"/>
        <rFont val="Noto Sans CJK SC"/>
        <family val="2"/>
      </rPr>
      <t xml:space="preserve">올해의 하늘은 꽃봉오리가 하나둘 열리는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‘설렘’을 고른 당신의 마음이 잘 겹쳐집니다</t>
    </r>
    <r>
      <rPr>
        <sz val="10"/>
        <rFont val="맑은 고딕"/>
        <family val="0"/>
        <charset val="1"/>
      </rPr>
      <t xml:space="preserve">.</t>
    </r>
  </si>
  <si>
    <t xml:space="preserve">Q2_10_ID_2</t>
  </si>
  <si>
    <r>
      <rPr>
        <sz val="10"/>
        <rFont val="Noto Sans CJK SC"/>
        <family val="2"/>
      </rPr>
      <t xml:space="preserve">올해 마음을 두근거리게 한 무언가가 있었다면 ‘설렘’이라는 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들뜬 마음을 차분히 담아 둘 그릇에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</si>
  <si>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Q2_10_ID_3</t>
  </si>
  <si>
    <r>
      <rPr>
        <sz val="10"/>
        <rFont val="Noto Sans CJK SC"/>
        <family val="2"/>
      </rPr>
      <t xml:space="preserve">무엇이 마음을 움직였는지는 당신이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결의 이야기를 하나 더 들려주고 있었어요</t>
    </r>
    <r>
      <rPr>
        <sz val="10"/>
        <rFont val="맑은 고딕"/>
        <family val="0"/>
        <charset val="1"/>
      </rPr>
      <t xml:space="preserve">.</t>
    </r>
  </si>
  <si>
    <t xml:space="preserve">Q2_10_ID_4</t>
  </si>
  <si>
    <r>
      <rPr>
        <sz val="10"/>
        <rFont val="Noto Sans CJK SC"/>
        <family val="2"/>
      </rPr>
      <t xml:space="preserve">하늘은 올해를 조금 더 차분한 색으로 그리고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설렘’을 느낀 건 바로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체감을 믿으면서 하늘의 이야기도 곁에 살짝 놓아 두면 좋습니다</t>
    </r>
    <r>
      <rPr>
        <sz val="10"/>
        <rFont val="맑은 고딕"/>
        <family val="0"/>
        <charset val="1"/>
      </rPr>
      <t xml:space="preserve">.</t>
    </r>
  </si>
  <si>
    <t xml:space="preserve">Q2_10_ID_5</t>
  </si>
  <si>
    <r>
      <rPr>
        <sz val="10"/>
        <rFont val="Noto Sans CJK SC"/>
        <family val="2"/>
      </rPr>
      <t xml:space="preserve">작은 것에도 마음이 반짝인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설렘이 오래 이어지도록 뿌리를 내리는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</si>
  <si>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Q2_10_CL_2</t>
  </si>
  <si>
    <r>
      <rPr>
        <sz val="10"/>
        <rFont val="Noto Sans CJK SC"/>
        <family val="2"/>
      </rPr>
      <t xml:space="preserve">설렘이 지나간 자리에도 따뜻한 온기는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마음이 뛰었던 순간 하나를 사진이나 메모로 남겨 두세요</t>
    </r>
    <r>
      <rPr>
        <sz val="10"/>
        <rFont val="맑은 고딕"/>
        <family val="0"/>
        <charset val="1"/>
      </rPr>
      <t xml:space="preserve">.</t>
    </r>
  </si>
  <si>
    <t xml:space="preserve">Q2_10_CL_3</t>
  </si>
  <si>
    <r>
      <rPr>
        <sz val="10"/>
        <rFont val="Noto Sans CJK SC"/>
        <family val="2"/>
      </rPr>
      <t xml:space="preserve">들뜬 마음과 차분한 마음은 함께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설렘을 오래 간직하고 싶다면 그 마음을 지키는 작은 루틴 하나를 만들어 보는 것도 좋습니다</t>
    </r>
    <r>
      <rPr>
        <sz val="10"/>
        <rFont val="맑은 고딕"/>
        <family val="0"/>
        <charset val="1"/>
      </rPr>
      <t xml:space="preserve">.</t>
    </r>
  </si>
  <si>
    <t xml:space="preserve">Q2_10_CL_4</t>
  </si>
  <si>
    <r>
      <rPr>
        <sz val="10"/>
        <rFont val="Noto Sans CJK SC"/>
        <family val="2"/>
      </rPr>
      <t xml:space="preserve">설렘이 꼭 큰 결과로 이어지지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움직였다는 것만으로도 올해는 충분히 빛났어요</t>
    </r>
    <r>
      <rPr>
        <sz val="10"/>
        <rFont val="맑은 고딕"/>
        <family val="0"/>
        <charset val="1"/>
      </rPr>
      <t xml:space="preserve">.</t>
    </r>
  </si>
  <si>
    <t xml:space="preserve">Q2_10_CL_5</t>
  </si>
  <si>
    <r>
      <rPr>
        <sz val="10"/>
        <rFont val="Noto Sans CJK SC"/>
        <family val="2"/>
      </rPr>
      <t xml:space="preserve">내년에도 설렐 거리를 하나 미리 심어 두면 어떨까요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 보고 싶은 곳이나 배우고 싶은 것을 하나 정해 두는 것만으로 충분합니다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</si>
  <si>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Q3 </t>
    </r>
    <r>
      <rPr>
        <b val="true"/>
        <sz val="10"/>
        <color rgb="FFFDF6E9"/>
        <rFont val="Noto Sans CJK SC"/>
        <family val="2"/>
      </rPr>
      <t xml:space="preserve">바람</t>
    </r>
  </si>
  <si>
    <t xml:space="preserve">판정</t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</si>
  <si>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(3~4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</si>
  <si>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맑은 고딕"/>
        <family val="0"/>
        <charset val="1"/>
      </rPr>
      <t xml:space="preserve">5</t>
    </r>
    <r>
      <rPr>
        <b val="true"/>
        <sz val="10"/>
        <color rgb="FFFDF6E9"/>
        <rFont val="Noto Sans CJK SC"/>
        <family val="2"/>
      </rPr>
      <t xml:space="preserve">년 표 한 줄</t>
    </r>
  </si>
  <si>
    <r>
      <rPr>
        <b val="true"/>
        <sz val="10"/>
        <color rgb="FFFDF6E9"/>
        <rFont val="Noto Sans CJK SC"/>
        <family val="2"/>
      </rPr>
      <t xml:space="preserve">순풍 해가 없을 때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열리는 해만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</si>
  <si>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WISH_01_FAV</t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</si>
  <si>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</si>
  <si>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생활의 바탕이 한결 넓고 든든해지기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지금의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정돈할 때 이 흐름을 가장 잘 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편안해졌다고 모든 것을 서둘러 굳히기보다 한 걸음씩 자리를 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</si>
  <si>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생활의 바탕을 넓히기 좋은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</si>
  <si>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다가오는 해’는 리포트 기준 다음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판정 이름은 늘 두 말을 함께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순풍 행의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역풍 행은 토성 구절을 전제로 뒤에 ‘때라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덕분에’를 붙였습니다</t>
    </r>
    <r>
      <rPr>
        <sz val="10"/>
        <rFont val="맑은 고딕"/>
        <family val="0"/>
        <charset val="1"/>
      </rPr>
      <t xml:space="preserve">.</t>
    </r>
  </si>
  <si>
    <t xml:space="preserve">WISH_01_NEU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</si>
  <si>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</si>
  <si>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안정이라는 바람으로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무엇을 고르고 얼마나 꾸준히 지키느냐가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장보는 요일처럼 바쁜 날에도 지킬 기준 하나를 먼저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</si>
  <si>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기준이 안정을 만드는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</si>
  <si>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보통 판정은 근거 구절이 없을 수 있어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돕는 흐름과 무게가 함께 있는 경우’와 ‘어느 쪽도 크지 않은 경우’ 모두에 맞는 말로 썼습니다</t>
    </r>
    <r>
      <rPr>
        <sz val="10"/>
        <rFont val="맑은 고딕"/>
        <family val="0"/>
        <charset val="1"/>
      </rPr>
      <t xml:space="preserve">.</t>
    </r>
  </si>
  <si>
    <t xml:space="preserve">WISH_01_HEAD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</si>
  <si>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</si>
  <si>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안정을 바로 얻기는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생활을 지키는 책임이 무겁게 느껴지거나 일이 생각보다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지키려 하기보다 꼭 지킬 것 하나를 정하고 그 둘레부터 다지는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다진 바탕은 쉽게 무너지지 않는 나만의 안정이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</si>
  <si>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지킬 것 하나를 단단히 하는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</si>
  <si>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역풍의 장애는 토성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으로만 쓰고 변화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흔들림은 장애로 쓰지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순풍 연도 안내는 같은 바람의 열리는 해 행</t>
    </r>
    <r>
      <rPr>
        <sz val="10"/>
        <rFont val="맑은 고딕"/>
        <family val="0"/>
        <charset val="1"/>
      </rPr>
      <t xml:space="preserve">(OPEN)</t>
    </r>
    <r>
      <rPr>
        <sz val="10"/>
        <rFont val="Noto Sans CJK SC"/>
        <family val="2"/>
      </rPr>
      <t xml:space="preserve">을 이어 붙이는 것을 전제로 했습니다</t>
    </r>
    <r>
      <rPr>
        <sz val="10"/>
        <rFont val="맑은 고딕"/>
        <family val="0"/>
        <charset val="1"/>
      </rPr>
      <t xml:space="preserve">.</t>
    </r>
  </si>
  <si>
    <t xml:space="preserve">WISH_01_OPEN</t>
  </si>
  <si>
    <t xml:space="preserve">열리는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</si>
  <si>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안정이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생활의 자리를 넓히기보다 뿌리를 내리는 쪽으로 힘을 쓰는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두면 그 흐름을 더 오래 붙잡을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</si>
  <si>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안정이 가장 가까워지는 해</t>
    </r>
  </si>
  <si>
    <r>
      <rPr>
        <sz val="10"/>
        <rFont val="Noto Sans CJK SC"/>
        <family val="2"/>
      </rPr>
      <t xml:space="preserve">앞으로 다섯 해 안에 안정이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큰 도움보다 내가 쌓는 힘이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</si>
  <si>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fallback_text</t>
    </r>
    <r>
      <rPr>
        <sz val="10"/>
        <rFont val="Noto Sans CJK SC"/>
        <family val="2"/>
      </rPr>
      <t xml:space="preserve">는 다섯 해 안에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}}·{{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받침과 무관한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</si>
  <si>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WISH_02_FAV</t>
  </si>
  <si>
    <t xml:space="preserve">도약</t>
  </si>
  <si>
    <r>
      <rPr>
        <sz val="10"/>
        <rFont val="Noto Sans CJK SC"/>
        <family val="2"/>
      </rPr>
      <t xml:space="preserve">도약을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새 역할이나 도전에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하고 싶던 일을 작은 형태로라도 먼저 꺼내 보면 이 흐름을 잡기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속도가 붙을수록 일정과 체력에는 여유를 넉넉히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</si>
  <si>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미뤄 둔 도전을 꺼내기 좋은 해</t>
    </r>
  </si>
  <si>
    <t xml:space="preserve">WISH_02_NEU</t>
  </si>
  <si>
    <r>
      <rPr>
        <sz val="10"/>
        <rFont val="Noto Sans CJK SC"/>
        <family val="2"/>
      </rPr>
      <t xml:space="preserve">도약이라는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어디로 얼마나 뛸지는 내 선택과 꾸준함이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싶은 일 하나를 정해 한 달에 한 번씩 작게 시도해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도약을 거들어 줄 수도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</si>
  <si>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내가 고른 방향이 길이 되는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</si>
  <si>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 문장</t>
    </r>
    <r>
      <rPr>
        <sz val="10"/>
        <rFont val="맑은 고딕"/>
        <family val="0"/>
        <charset val="1"/>
      </rPr>
      <t xml:space="preserve">(B9)</t>
    </r>
    <r>
      <rPr>
        <sz val="10"/>
        <rFont val="Noto Sans CJK SC"/>
        <family val="2"/>
      </rPr>
      <t xml:space="preserve">과 겹치면 마지막 문장은 빼도 됩니다</t>
    </r>
    <r>
      <rPr>
        <sz val="10"/>
        <rFont val="맑은 고딕"/>
        <family val="0"/>
        <charset val="1"/>
      </rPr>
      <t xml:space="preserve">.</t>
    </r>
  </si>
  <si>
    <t xml:space="preserve">WISH_02_HEAD</t>
  </si>
  <si>
    <r>
      <rPr>
        <sz val="10"/>
        <rFont val="Noto Sans CJK SC"/>
        <family val="2"/>
      </rPr>
      <t xml:space="preserve">다가오는 해는 도약보다 발판을 마련하는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일과 역할의 책임이 무거워지고 결과가 기대보다 더디게 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채우고 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</si>
  <si>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다음 도약의 발판을 다지는 해</t>
    </r>
  </si>
  <si>
    <t xml:space="preserve">WISH_02_OPEN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</si>
  <si>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도약이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두었던 도전이나 새 역할을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실력과 포트폴리오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준비해 두면 열리는 문을 더 자신 있게 지나갈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</si>
  <si>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도약이 가장 가까워지는 해</t>
    </r>
  </si>
  <si>
    <r>
      <rPr>
        <sz val="10"/>
        <rFont val="Noto Sans CJK SC"/>
        <family val="2"/>
      </rPr>
      <t xml:space="preserve">앞으로 다섯 해는 활짝 열리는 해보다 내가 쌓는 실력과 준비가 도약을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준비를 한 칸씩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</si>
  <si>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WISH_03_FAV</t>
  </si>
  <si>
    <t xml:space="preserve">회복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</si>
  <si>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</si>
  <si>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에너지를 채우기 좋은 해</t>
    </r>
  </si>
  <si>
    <t xml:space="preserve">WISH_03_NEU</t>
  </si>
  <si>
    <r>
      <rPr>
        <sz val="10"/>
        <rFont val="Noto Sans CJK SC"/>
        <family val="2"/>
      </rPr>
      <t xml:space="preserve">회복은 다가오는 해에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얼마나 일정에 넣느냐가 회복의 속도를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아무 약속 없는 저녁을 먼저 달력에 적어 두는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</si>
  <si>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일정에 넣는 만큼 채워지는 해</t>
    </r>
  </si>
  <si>
    <t xml:space="preserve">WISH_03_HEAD</t>
  </si>
  <si>
    <r>
      <rPr>
        <sz val="10"/>
        <rFont val="Noto Sans CJK SC"/>
        <family val="2"/>
      </rPr>
      <t xml:space="preserve">다가오는 해는 회복이 더디게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쉬고 싶은 마음과 달리 할 일과 책임이 늘어나기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남는 시간에 하는 일이 아니라 먼저 정해 두는 일로 다루는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와중에 지켜 낸 쉼의 습관은 그다음 해까지 이어지는 회복의 기초가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</si>
  <si>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먼저 정해 두는 해</t>
    </r>
  </si>
  <si>
    <t xml:space="preserve">WISH_03_OPEN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</si>
  <si>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회복이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일정과 마음에 여백을 넉넉히 두고 충전에 집중하기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휴식의 리듬을 조금씩 지켜 두면 열리는 흐름을 더 깊이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</si>
  <si>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회복이 가장 가까워지는 해</t>
    </r>
  </si>
  <si>
    <r>
      <rPr>
        <sz val="10"/>
        <rFont val="Noto Sans CJK SC"/>
        <family val="2"/>
      </rPr>
      <t xml:space="preserve">앞으로 다섯 해 안에는 회복이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습관이 회복을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</si>
  <si>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t xml:space="preserve">WISH_04_FAV</t>
  </si>
  <si>
    <t xml:space="preserve">사랑</t>
  </si>
  <si>
    <r>
      <rPr>
        <sz val="10"/>
        <rFont val="Noto Sans CJK SC"/>
        <family val="2"/>
      </rPr>
      <t xml:space="preserve">사랑이라는 바람에서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표현하고 받아들이는 일이 한결 자연스러워지기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고마움이나 좋아하는 마음을 먼저 말로 건네 보면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상대의 속도도 나만큼 소중하다는 것을 함께 기억해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</si>
  <si>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표현하기 좋은 해</t>
    </r>
  </si>
  <si>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인연을 예측하거나 연애를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있는 관계를 포함한 ‘마음을 표현하는 준비’로만 썼습니다</t>
    </r>
    <r>
      <rPr>
        <sz val="10"/>
        <rFont val="맑은 고딕"/>
        <family val="0"/>
        <charset val="1"/>
      </rPr>
      <t xml:space="preserve">.</t>
    </r>
  </si>
  <si>
    <t xml:space="preserve">WISH_04_NEU</t>
  </si>
  <si>
    <r>
      <rPr>
        <sz val="10"/>
        <rFont val="Noto Sans CJK SC"/>
        <family val="2"/>
      </rPr>
      <t xml:space="preserve">사랑에 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얼마나 열어 두느냐가 관계의 온도를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순간에 사랑받는다고 느끼는지 한 문장으로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</si>
  <si>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여는 준비가 온도를 정하는 해</t>
    </r>
  </si>
  <si>
    <t xml:space="preserve">WISH_04_HEAD</t>
  </si>
  <si>
    <r>
      <rPr>
        <sz val="10"/>
        <rFont val="Noto Sans CJK SC"/>
        <family val="2"/>
      </rPr>
      <t xml:space="preserve">다가오는 해는 사랑이 마음먹은 대로 닿지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관계에서 맡은 몫이 무겁게 느껴지거나 기대와 현실 사이의 거리가 더 크게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속도를 재촉하기보다 내가 바라는 것과 지키고 싶은 것을 차분히 정리해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앞으로 마음을 나눌 때 나를 지켜 주는 단단한 기준이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</si>
  <si>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마음의 기준을 정리하는 해</t>
    </r>
  </si>
  <si>
    <r>
      <rPr>
        <sz val="10"/>
        <rFont val="Noto Sans CJK SC"/>
        <family val="2"/>
      </rPr>
      <t xml:space="preserve">이별 권유로 읽히지 않도록 이전 ‘관계의 결론을 서두르기보다’를 ‘관계의 속도를 재촉하기보다’로 바꿨습니다</t>
    </r>
    <r>
      <rPr>
        <sz val="10"/>
        <rFont val="맑은 고딕"/>
        <family val="0"/>
        <charset val="1"/>
      </rPr>
      <t xml:space="preserve">.</t>
    </r>
  </si>
  <si>
    <t xml:space="preserve">WISH_04_OPEN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</si>
  <si>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사랑이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</si>
  <si>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사랑이 가장 가까워지는 해</t>
    </r>
  </si>
  <si>
    <r>
      <rPr>
        <sz val="10"/>
        <rFont val="Noto Sans CJK SC"/>
        <family val="2"/>
      </rPr>
      <t xml:space="preserve">앞으로 다섯 해는 활짝 열리는 해보다 내가 마음을 여는 준비가 사랑을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나를 아끼는 연습과 마음을 표현하는 연습을 함께 쌓아 가면 좋습니다</t>
    </r>
    <r>
      <rPr>
        <sz val="10"/>
        <rFont val="맑은 고딕"/>
        <family val="0"/>
        <charset val="1"/>
      </rPr>
      <t xml:space="preserve">.</t>
    </r>
  </si>
  <si>
    <t xml:space="preserve">WISH_05_FAV</t>
  </si>
  <si>
    <t xml:space="preserve">좋은 사람들</t>
  </si>
  <si>
    <r>
      <rPr>
        <sz val="10"/>
        <rFont val="Noto Sans CJK SC"/>
        <family val="2"/>
      </rPr>
      <t xml:space="preserve">다가오는 해는 좋은 사람들과의 인연이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함께하는 일에서 마음 맞는 사람과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싶던 모임에 한 번 나가 보거나 오래 연락하지 못한 사람에게 먼저 안부를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자리에 다 가려 하기보다 나에게 맞는 자리를 골라 가는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</si>
  <si>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안부를 건네기 좋은 해</t>
    </r>
  </si>
  <si>
    <t xml:space="preserve">WISH_05_NEU</t>
  </si>
  <si>
    <r>
      <rPr>
        <sz val="10"/>
        <rFont val="Noto Sans CJK SC"/>
        <family val="2"/>
      </rPr>
      <t xml:space="preserve">사람과의 인연에서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연락 하나가 관계의 모양을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고마운 사람에게 짧은 안부를 보내는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</si>
  <si>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건넨 연락이 관계를 만드는 해</t>
    </r>
  </si>
  <si>
    <t xml:space="preserve">WISH_05_HEAD</t>
  </si>
  <si>
    <r>
      <rPr>
        <sz val="10"/>
        <rFont val="Noto Sans CJK SC"/>
        <family val="2"/>
      </rPr>
      <t xml:space="preserve">좋은 사람들을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관계를 넓히기보다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공동체에서 맡을 책임이 늘거나 기대한 만큼 마음이 돌아오지 않는다고 느낄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이미 곁에 있는 몇 사람과의 연결을 깊게 하는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오래 함께할 좋은 사람이 누구인지 더 또렷해지기도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</si>
  <si>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곁의 몇 사람을 깊게 하는 해</t>
    </r>
  </si>
  <si>
    <t xml:space="preserve">WISH_05_OPEN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</si>
  <si>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 이어지기가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</si>
  <si>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사람들과 가장 가까워지는 해</t>
    </r>
  </si>
  <si>
    <r>
      <rPr>
        <sz val="10"/>
        <rFont val="Noto Sans CJK SC"/>
        <family val="2"/>
      </rPr>
      <t xml:space="preserve">앞으로 다섯 해 안에 좋은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가꾸는 관계의 힘이 인연의 모양을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</si>
  <si>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WISH_06_FAV</t>
  </si>
  <si>
    <t xml:space="preserve">여유</t>
  </si>
  <si>
    <r>
      <rPr>
        <sz val="10"/>
        <rFont val="Noto Sans CJK SC"/>
        <family val="2"/>
      </rPr>
      <t xml:space="preserve">여유를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늦추고 즐거움을 누리기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싶었던 취미나 짧은 여행처럼 나를 위한 시간을 미리 달력에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생긴 자리를 다른 일로 금세 채우지 않도록 살펴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</si>
  <si>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나를 위한 시간을 누리기 좋은 해</t>
    </r>
  </si>
  <si>
    <t xml:space="preserve">WISH_06_NEU</t>
  </si>
  <si>
    <r>
      <rPr>
        <sz val="10"/>
        <rFont val="Noto Sans CJK SC"/>
        <family val="2"/>
      </rPr>
      <t xml:space="preserve">여유에 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덜어 내느냐가 여유의 크기를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꼭 내가 하지 않아도 되는 일 하나를 지워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</si>
  <si>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덜어 내는 만큼 넉넉해지는 해</t>
    </r>
  </si>
  <si>
    <t xml:space="preserve">WISH_06_HEAD</t>
  </si>
  <si>
    <r>
      <rPr>
        <sz val="10"/>
        <rFont val="Noto Sans CJK SC"/>
        <family val="2"/>
      </rPr>
      <t xml:space="preserve">다가오는 해는 여유보다 해야 할 일이 먼저 밀려오기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일정과 책임이 겹치며 마음이 급해질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여유를 기다리기보다 하루 중 짧은 쉼표 몇 개를 지키는 편이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해에 지켜 낸 작은 여유는 나에게 맞는 속도를 알려 주는 기준으로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</si>
  <si>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하루의 작은 쉼표를 지키는 해</t>
    </r>
  </si>
  <si>
    <t xml:space="preserve">WISH_06_OPEN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</si>
  <si>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여유가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속도를 늦추고 즐거움과 쉼을 누리는 데 마음을 써도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지킬 일을 하나씩 구분해 두면 찾아온 여유를 온전히 내 것으로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</si>
  <si>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여유가 가장 가까워지는 해</t>
    </r>
  </si>
  <si>
    <r>
      <rPr>
        <sz val="10"/>
        <rFont val="Noto Sans CJK SC"/>
        <family val="2"/>
      </rPr>
      <t xml:space="preserve">앞으로 다섯 해는 활짝 열리는 해보다 내가 덜어 내는 힘이 여유를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하루에 하나씩 덜어 내는 연습을 이어 가면 좋습니다</t>
    </r>
    <r>
      <rPr>
        <sz val="10"/>
        <rFont val="맑은 고딕"/>
        <family val="0"/>
        <charset val="1"/>
      </rPr>
      <t xml:space="preserve">.</t>
    </r>
  </si>
  <si>
    <t xml:space="preserve">WISH_07_FAV</t>
  </si>
  <si>
    <t xml:space="preserve">건강한 생활</t>
  </si>
  <si>
    <r>
      <rPr>
        <sz val="10"/>
        <rFont val="Noto Sans CJK SC"/>
        <family val="2"/>
      </rPr>
      <t xml:space="preserve">생활 습관을 가꾸고 싶은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생활 습관을 들이고 이어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걷기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 시간처럼 작은 루틴 하나를 정해 매일 같은 때에 해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의욕이 날수록 여러 습관을 한꺼번에 시작하기보다 하나씩 늘려 가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</si>
  <si>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루틴을 들이기 좋은 해</t>
    </r>
  </si>
  <si>
    <r>
      <rPr>
        <sz val="10"/>
        <rFont val="Noto Sans CJK SC"/>
        <family val="2"/>
      </rPr>
      <t xml:space="preserve">몸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</si>
  <si>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</t>
  </si>
  <si>
    <r>
      <rPr>
        <sz val="10"/>
        <rFont val="Noto Sans CJK SC"/>
        <family val="2"/>
      </rPr>
      <t xml:space="preserve">건강한 생활을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반복하는 작은 선택이 생활의 결을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저녁에 짧은 산책처럼 부담 없는 습관 하나부터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</si>
  <si>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습관이 생활의 결을 만드는 해</t>
    </r>
  </si>
  <si>
    <t xml:space="preserve">WISH_07_HEAD</t>
  </si>
  <si>
    <r>
      <rPr>
        <sz val="10"/>
        <rFont val="Noto Sans CJK SC"/>
        <family val="2"/>
      </rPr>
      <t xml:space="preserve">다가오는 해는 마음먹은 루틴을 이어 가는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맡은 일과 책임이 늘면서 생활 리듬을 지킬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바쁜 날에도 지킬 수 있는 가장 작은 습관 하나를 정해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작은 루틴은 이후 생활을 받쳐 주는 단단한 바닥이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</si>
  <si>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가장 작은 습관 하나를 지키는 해</t>
    </r>
  </si>
  <si>
    <t xml:space="preserve">WISH_07_OPEN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</si>
  <si>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건강한 생활 리듬이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루틴을 들이고 자리 잡게 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식사 시간처럼 기본 리듬을 조금씩 맞춰 두면 그해의 습관이 더 쉽게 몸에 붙어요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</si>
  <si>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건강한 생활 리듬이 가장 가까워지는 해</t>
    </r>
  </si>
  <si>
    <r>
      <rPr>
        <sz val="10"/>
        <rFont val="Noto Sans CJK SC"/>
        <family val="2"/>
      </rPr>
      <t xml:space="preserve">앞으로 다섯 해 안에는 건강한 생활이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이어 가는 습관이 생활 리듬을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</si>
  <si>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WISH_08_FAV</t>
  </si>
  <si>
    <t xml:space="preserve">경제적 여유</t>
  </si>
  <si>
    <r>
      <rPr>
        <sz val="10"/>
        <rFont val="Noto Sans CJK SC"/>
        <family val="2"/>
      </rPr>
      <t xml:space="preserve">다가오는 해는 경제적 여유를 위한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대하는 기준을 세우고 생활의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고정 지출을 한 번 정리하고 매달 따로 모아 둘 몫을 정해 두면 이 흐름을 잘 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마음이 넉넉해질수록 지출도 함께 커지기 쉬우니 큰 지출은 하루 묵혀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</si>
  <si>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돈의 기준을 세우기 좋은 해</t>
    </r>
  </si>
  <si>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투자 예측 없이 지출 기준과 생활 기반으로만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문장도 ‘경제적 여유를 위한 기반이’ 열린다고 표현했습니다</t>
    </r>
    <r>
      <rPr>
        <sz val="10"/>
        <rFont val="맑은 고딕"/>
        <family val="0"/>
        <charset val="1"/>
      </rPr>
      <t xml:space="preserve">.</t>
    </r>
  </si>
  <si>
    <t xml:space="preserve">WISH_08_NEU</t>
  </si>
  <si>
    <r>
      <rPr>
        <sz val="10"/>
        <rFont val="Noto Sans CJK SC"/>
        <family val="2"/>
      </rPr>
      <t xml:space="preserve">경제적 여유를 바라는 마음으로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매달의 지출 기준이 생활의 넉넉함을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지출을 꼭 필요한 것과 즐거움을 위한 것으로 나눠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</si>
  <si>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기준이 넉넉함을 만드는 해</t>
    </r>
  </si>
  <si>
    <t xml:space="preserve">WISH_08_HEAD</t>
  </si>
  <si>
    <r>
      <rPr>
        <sz val="10"/>
        <rFont val="Noto Sans CJK SC"/>
        <family val="2"/>
      </rPr>
      <t xml:space="preserve">다가오는 해는 돈 앞에서 여유를 느끼기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생활을 꾸리는 책임이나 지출의 무게가 늘었다고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계획보다 고정 지출을 점검하고 비상금처럼 생활의 바탕을 다지는 데 힘을 쓰는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세운 돈의 기준은 이후의 여유를 지키는 울타리가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</si>
  <si>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기준과 생활의 바탕을 다지는 해</t>
    </r>
  </si>
  <si>
    <t xml:space="preserve">WISH_08_OPEN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</si>
  <si>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더 현실적인 기준을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</si>
  <si>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경제적 기반이 가장 단단해지기 쉬운 해</t>
    </r>
  </si>
  <si>
    <r>
      <rPr>
        <sz val="10"/>
        <rFont val="Noto Sans CJK SC"/>
        <family val="2"/>
      </rPr>
      <t xml:space="preserve">앞으로 다섯 해는 활짝 열리는 해보다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기반을 다지기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</si>
  <si>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‘경제적 여유가 가까워진다’가 수입 예측으로 읽힐 수 있어 ‘경제적 여유를 위한 생활의 기반’으로 썼습니다</t>
    </r>
    <r>
      <rPr>
        <sz val="10"/>
        <rFont val="맑은 고딕"/>
        <family val="0"/>
        <charset val="1"/>
      </rPr>
      <t xml:space="preserve">.</t>
    </r>
  </si>
  <si>
    <t xml:space="preserve">WISH_09_FAV</t>
  </si>
  <si>
    <t xml:space="preserve">인정</t>
  </si>
  <si>
    <r>
      <rPr>
        <sz val="10"/>
        <rFont val="Noto Sans CJK SC"/>
        <family val="2"/>
      </rPr>
      <t xml:space="preserve">인정을 바라는 마음에 하늘이 힘을 보태는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그동안 해 온 일이 다른 사람의 눈에 띄기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한 일을 짧게 정리해 공유하거나 맡고 싶은 역할을 먼저 말해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칭찬에 힘입어 일을 더 떠안기보다 감당할 수 있는 만큼만 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</si>
  <si>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 온 일을 드러내기 좋은 해</t>
    </r>
  </si>
  <si>
    <t xml:space="preserve">WISH_09_NEU</t>
  </si>
  <si>
    <r>
      <rPr>
        <sz val="10"/>
        <rFont val="Noto Sans CJK SC"/>
        <family val="2"/>
      </rPr>
      <t xml:space="preserve">인정에서는 다가오는 해가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어떻게 보여 주느냐가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주가 끝날 때 해낸 일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꺼내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</si>
  <si>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해낸 일을 보여 주는 만큼 돌아오는 해</t>
    </r>
  </si>
  <si>
    <t xml:space="preserve">WISH_09_HEAD</t>
  </si>
  <si>
    <r>
      <rPr>
        <sz val="10"/>
        <rFont val="Noto Sans CJK SC"/>
        <family val="2"/>
      </rPr>
      <t xml:space="preserve">다가오는 해는 애쓴 만큼 인정이 바로 돌아오지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책임은 늘어나는데 눈에 보이는 보상은 더디게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평가를 기다리기보다 스스로 정한 기준으로 한 해의 성과를 기록해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쌓은 실력과 기록은 다음 기회에 나를 보여 주는 든든한 근거로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</si>
  <si>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스스로의 기준으로 기록하는 해</t>
    </r>
  </si>
  <si>
    <t xml:space="preserve">WISH_09_OPEN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</si>
  <si>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인정이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그동안 쌓아 온 일을 드러내고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기회가 왔을 때 나를 더 자신 있게 보여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</si>
  <si>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인정이 가장 가까워지는 해</t>
    </r>
  </si>
  <si>
    <r>
      <rPr>
        <sz val="10"/>
        <rFont val="Noto Sans CJK SC"/>
        <family val="2"/>
      </rPr>
      <t xml:space="preserve">앞으로 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해낸 일을 하나씩 기록해 두면 좋습니다</t>
    </r>
    <r>
      <rPr>
        <sz val="10"/>
        <rFont val="맑은 고딕"/>
        <family val="0"/>
        <charset val="1"/>
      </rPr>
      <t xml:space="preserve">.</t>
    </r>
  </si>
  <si>
    <t xml:space="preserve">WISH_10_FAV</t>
  </si>
  <si>
    <t xml:space="preserve">나다움</t>
  </si>
  <si>
    <r>
      <rPr>
        <sz val="10"/>
        <rFont val="Noto Sans CJK SC"/>
        <family val="2"/>
      </rPr>
      <t xml:space="preserve">다가오는 해는 나답게 사는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내가 좋아하는 것과 원하는 방향이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마음이 끌리는 선택을 하나씩 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나다움을 찾는 과정에서 가까운 사람과 생각을 나누는 일도 함께 챙겨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</si>
  <si>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방향이 또렷해지기 좋은 해</t>
    </r>
  </si>
  <si>
    <t xml:space="preserve">WISH_10_NEU</t>
  </si>
  <si>
    <r>
      <rPr>
        <sz val="10"/>
        <rFont val="Noto Sans CJK SC"/>
        <family val="2"/>
      </rPr>
      <t xml:space="preserve">나다움의 바람에서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선택에서 내 마음을 얼마나 따르느냐가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 남의 기준 말고 내 기준으로 고른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흐름도 나다움을 찾는 데 힘을 보태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</si>
  <si>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선택이 나를 만드는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</si>
  <si>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B9 </t>
    </r>
    <r>
      <rPr>
        <sz val="10"/>
        <rFont val="Noto Sans CJK SC"/>
        <family val="2"/>
      </rPr>
      <t xml:space="preserve">문장과 겹치면 빼도 됩니다</t>
    </r>
    <r>
      <rPr>
        <sz val="10"/>
        <rFont val="맑은 고딕"/>
        <family val="0"/>
        <charset val="1"/>
      </rPr>
      <t xml:space="preserve">.</t>
    </r>
  </si>
  <si>
    <t xml:space="preserve">WISH_10_HEAD</t>
  </si>
  <si>
    <r>
      <rPr>
        <sz val="10"/>
        <rFont val="Noto Sans CJK SC"/>
        <family val="2"/>
      </rPr>
      <t xml:space="preserve">다가오는 해는 역할과 기대에 맞추느라 나다움을 지키기 어렵다고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해야 하는 일과 책임이 하고 싶은 일보다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중 짧게라도 오롯이 나를 위한 시간을 지키고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무엇이 즐거운지 살펴보는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시간은 쉽게 꺾이지 않는 나만의 기준을 세워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</si>
  <si>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나만의 시간을 지키는 해</t>
    </r>
  </si>
  <si>
    <t xml:space="preserve">WISH_10_OPEN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</si>
  <si>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쪽을 골라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</si>
  <si>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나다움이 가장 가까워지는 해</t>
    </r>
  </si>
  <si>
    <r>
      <rPr>
        <sz val="10"/>
        <rFont val="Noto Sans CJK SC"/>
        <family val="2"/>
      </rPr>
      <t xml:space="preserve">앞으로 다섯 해는 활짝 열리는 해보다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</si>
  <si>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t xml:space="preserve">WISH_11_FAV</t>
  </si>
  <si>
    <t xml:space="preserve">새로운 시작</t>
  </si>
  <si>
    <r>
      <rPr>
        <sz val="10"/>
        <rFont val="Noto Sans CJK SC"/>
        <family val="2"/>
      </rPr>
      <t xml:space="preserve">새로운 시작을 꿈꾼다면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마음에 두었던 시작 하나를 골라 첫 단계를 작게라도 밟아 보면 이 흐름을 잘 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설렘에 여러 일을 한꺼번에 벌이기보다 하나에 먼저 마음을 모아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</si>
  <si>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첫걸음을 내딛기 좋은 해</t>
    </r>
  </si>
  <si>
    <r>
      <rPr>
        <sz val="10"/>
        <rFont val="Noto Sans CJK SC"/>
        <family val="2"/>
      </rPr>
      <t xml:space="preserve">신규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추가 후보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1·9, 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곳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처음 해 보는 일의 결로 썼습니다</t>
    </r>
    <r>
      <rPr>
        <sz val="10"/>
        <rFont val="맑은 고딕"/>
        <family val="0"/>
        <charset val="1"/>
      </rPr>
      <t xml:space="preserve">.</t>
    </r>
  </si>
  <si>
    <t xml:space="preserve">WISH_11_NEU</t>
  </si>
  <si>
    <r>
      <rPr>
        <sz val="10"/>
        <rFont val="Noto Sans CJK SC"/>
        <family val="2"/>
      </rPr>
      <t xml:space="preserve">새로운 시작이라는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어떻게 첫발을 떼느냐는 내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하나 정해 이번 달에 해 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 출발에 힘을 실어 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</si>
  <si>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 단계를 내가 정하는 해</t>
    </r>
  </si>
  <si>
    <t xml:space="preserve">WISH_11_HEAD</t>
  </si>
  <si>
    <r>
      <rPr>
        <sz val="10"/>
        <rFont val="Noto Sans CJK SC"/>
        <family val="2"/>
      </rPr>
      <t xml:space="preserve">다가오는 해는 새로운 시작보다 준비에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시작하려는 일에 책임과 조건이 먼저 따라붙고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일이 기대보다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시작을 서두르기보다 필요한 배움과 준비를 차근차근 갖춰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준비는 새 출발을 오래 이어 가게 하는 든든한 뿌리가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</si>
  <si>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출발의 준비를 갖추는 해</t>
    </r>
  </si>
  <si>
    <t xml:space="preserve">WISH_11_OPEN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</si>
  <si>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새로운 시작이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일의 목록과 필요한 준비를 차근차근 갖춰 두면 열리는 흐름에 가볍게 올라탈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</si>
  <si>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새로운 시작이 가장 가까워지는 해</t>
    </r>
  </si>
  <si>
    <r>
      <rPr>
        <sz val="10"/>
        <rFont val="Noto Sans CJK SC"/>
        <family val="2"/>
      </rPr>
      <t xml:space="preserve">앞으로 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갖추는 준비가 첫걸음을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필요한 배움과 준비를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</si>
  <si>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칸</t>
    </r>
    <r>
      <rPr>
        <b val="true"/>
        <sz val="10"/>
        <color rgb="FFFDF6E9"/>
        <rFont val="맑은 고딕"/>
        <family val="0"/>
        <charset val="1"/>
      </rPr>
      <t xml:space="preserve">(text/fallback_text)</t>
    </r>
  </si>
  <si>
    <t xml:space="preserve">WISH_01_FAV_2</t>
  </si>
  <si>
    <t xml:space="preserve">text</t>
  </si>
  <si>
    <r>
      <rPr>
        <sz val="10"/>
        <rFont val="Noto Sans CJK SC"/>
        <family val="2"/>
      </rPr>
      <t xml:space="preserve">안정을 꿈꿔 왔다면 다가오는 해를 반갑게 맞아도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머무는 자리와 하루의 리듬이 차분히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미뤄 둔 서랍 하나나 방 한쪽을 정리해 손 닿는 곳부터 편안하게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</si>
  <si>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</t>
    </r>
  </si>
  <si>
    <t xml:space="preserve">WISH_01_FAV_3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</si>
  <si>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흩어져 있던 생활의 조각들이 제자리를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붙일 곳이 한결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흐름을 받으려면 한 주에 한 번 집에서 보내는 저녁을 정해 온전히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편안함이 가장 오래 남습니다</t>
    </r>
    <r>
      <rPr>
        <sz val="10"/>
        <rFont val="맑은 고딕"/>
        <family val="0"/>
        <charset val="1"/>
      </rPr>
      <t xml:space="preserve">.</t>
    </r>
  </si>
  <si>
    <t xml:space="preserve">WISH_01_FAV_4</t>
  </si>
  <si>
    <r>
      <rPr>
        <sz val="10"/>
        <rFont val="Noto Sans CJK SC"/>
        <family val="2"/>
      </rPr>
      <t xml:space="preserve">집과 일상에 뿌리를 내리고 싶은 마음이 크다면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기대고 쉴 수 있는 바탕이 넓어지기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아침 같은 시간에 일어나 같은 자리에서 차 한 잔을 마시는 작은 의식을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반복이 안정을 몸으로 느끼게 해 주는 닻이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</si>
  <si>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WISH_01_FAV_5</t>
  </si>
  <si>
    <r>
      <rPr>
        <sz val="10"/>
        <rFont val="Noto Sans CJK SC"/>
        <family val="2"/>
      </rPr>
      <t xml:space="preserve">다가오는 해는 흐트러졌던 일상이 제자리를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지킬 작은 규칙 하나를 정해 보면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그런 약속이 부담보다 편안함으로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좋은 흐름일수록 큰 결정은 한 계절쯤 지켜본 뒤에 내려도 늦지 않아요</t>
    </r>
    <r>
      <rPr>
        <sz val="10"/>
        <rFont val="맑은 고딕"/>
        <family val="0"/>
        <charset val="1"/>
      </rPr>
      <t xml:space="preserve">.</t>
    </r>
  </si>
  <si>
    <t xml:space="preserve">WISH_01_NEU_2</t>
  </si>
  <si>
    <r>
      <rPr>
        <sz val="10"/>
        <rFont val="Noto Sans CJK SC"/>
        <family val="2"/>
      </rPr>
      <t xml:space="preserve">다가오는 해는 안정이 저절로 주어지기보다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힘이 어느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하루하루의 습관이 생활의 바탕을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다음 날 챙길 것을 미리 꺼내 두는 일처럼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아침을 덜 허둥대게 하는 준비 하나부터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</si>
  <si>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</t>
    </r>
  </si>
  <si>
    <t xml:space="preserve">WISH_01_NEU_3</t>
  </si>
  <si>
    <r>
      <rPr>
        <sz val="10"/>
        <rFont val="Noto Sans CJK SC"/>
        <family val="2"/>
      </rPr>
      <t xml:space="preserve">안정을 바라는 당신에게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기운과 무게가 엇비슷하게 놓여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꾸준히 지키느냐에 따라 마음의 바닥이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일정과 집안일과 지출을 한눈에 훑어보는 나만의 점검일을 정해 보세요</t>
    </r>
    <r>
      <rPr>
        <sz val="10"/>
        <rFont val="맑은 고딕"/>
        <family val="0"/>
        <charset val="1"/>
      </rPr>
      <t xml:space="preserve">.</t>
    </r>
  </si>
  <si>
    <t xml:space="preserve">WISH_01_NEU_4</t>
  </si>
  <si>
    <r>
      <rPr>
        <sz val="10"/>
        <rFont val="Noto Sans CJK SC"/>
        <family val="2"/>
      </rPr>
      <t xml:space="preserve">다가오는 해의 안정은 내가 쌓는 만큼 자라는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무게가 어느 한쪽으로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반나절은 약속 없이 집을 돌보고 장을 보는 시간으로 비워 두면 한 주가 한결 단단해져요</t>
    </r>
    <r>
      <rPr>
        <sz val="10"/>
        <rFont val="맑은 고딕"/>
        <family val="0"/>
        <charset val="1"/>
      </rPr>
      <t xml:space="preserve">.</t>
    </r>
  </si>
  <si>
    <t xml:space="preserve">WISH_01_NEU_5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</si>
  <si>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다가오는 해의 안정을 한마디로 말하면 이렇습니다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한쪽으로 떠밀지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작은 기준들이 하루의 무게중심이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자주 흔들리는 순간을 떠올려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돌아갈 나만의 자리 하나를 정해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산책길이든 좋아하는 카페든 괜찮습니다</t>
    </r>
    <r>
      <rPr>
        <sz val="10"/>
        <rFont val="맑은 고딕"/>
        <family val="0"/>
        <charset val="1"/>
      </rPr>
      <t xml:space="preserve">.</t>
    </r>
  </si>
  <si>
    <t xml:space="preserve">WISH_01_HEAD_2</t>
  </si>
  <si>
    <r>
      <rPr>
        <sz val="10"/>
        <rFont val="Noto Sans CJK SC"/>
        <family val="2"/>
      </rPr>
      <t xml:space="preserve">안정을 원하는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지킬 것이 많아 어깨가 무거운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집과 생활에 드는 손길이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정리하려던 일이 한 번에 끝나지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가지씩만 손보는 목록을 만들어 하나를 끝낼 때마다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채운 그 목록이 이 해를 지나고 나면 믿을 수 있는 생활의 뼈대로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</si>
  <si>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</t>
    </r>
  </si>
  <si>
    <t xml:space="preserve">WISH_01_HEAD_3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</si>
  <si>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손에 잡히기까지 시간이 걸리는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생활을 꾸리는 조건들이 하나둘 시험처럼 다가와 버겁게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매일 밤 같은 시간에 하루를 마무리하는 작은 순서를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다진 리듬은 웬만한 일에는 쉽게 기울지 않는 안정의 바닥이 되어 줍니다</t>
    </r>
    <r>
      <rPr>
        <sz val="10"/>
        <rFont val="맑은 고딕"/>
        <family val="0"/>
        <charset val="1"/>
      </rPr>
      <t xml:space="preserve">.</t>
    </r>
  </si>
  <si>
    <t xml:space="preserve">WISH_01_HEAD_4</t>
  </si>
  <si>
    <r>
      <rPr>
        <sz val="10"/>
        <rFont val="Noto Sans CJK SC"/>
        <family val="2"/>
      </rPr>
      <t xml:space="preserve">다가오는 해는 안정을 얻기보다 안정을 지탱할 기둥을 세우는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무거워지고 애쓴 만큼의 결과가 늦게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가장 자주 쓰는 공간 한 곳을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 동안 그곳만큼은 늘 정돈된 상태로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지켜 낸 한 자리가 다음 해의 안정을 넓혀 갈 출발점이 됩니다</t>
    </r>
    <r>
      <rPr>
        <sz val="10"/>
        <rFont val="맑은 고딕"/>
        <family val="0"/>
        <charset val="1"/>
      </rPr>
      <t xml:space="preserve">.</t>
    </r>
  </si>
  <si>
    <t xml:space="preserve">WISH_01_HEAD_5</t>
  </si>
  <si>
    <r>
      <rPr>
        <sz val="10"/>
        <rFont val="Noto Sans CJK SC"/>
        <family val="2"/>
      </rPr>
      <t xml:space="preserve">솔직히 말하면 다가오는 해는 안정이 쉽게 찾아오는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생활의 책임이 한꺼번에 어깨에 얹히는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버거울 때 기댈 사람 한 명과 쉴 시간 한 칸을 미리 정해 두면 무게를 나눠 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세운 생활의 기준은 쉽게 무너지지 않는 안정의 밑돌로 남습니다</t>
    </r>
    <r>
      <rPr>
        <sz val="10"/>
        <rFont val="맑은 고딕"/>
        <family val="0"/>
        <charset val="1"/>
      </rPr>
      <t xml:space="preserve">.</t>
    </r>
  </si>
  <si>
    <t xml:space="preserve">WISH_01_OPEN_2</t>
  </si>
  <si>
    <r>
      <rPr>
        <sz val="10"/>
        <rFont val="Noto Sans CJK SC"/>
        <family val="2"/>
      </rPr>
      <t xml:space="preserve">바라던 안정은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또렷하게 다가와요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머물 자리와 생활의 틀을 넉넉히 다듬기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마지막 날 집과 일정을 한 번씩 정돈하는 습관을 들여 두면 그 흐름 위에 편안히 자리 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</si>
  <si>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</si>
  <si>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</si>
  <si>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흩어졌던 생활이 한자리에 모이기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그해는 무언가를 새로 늘리기보다 지금 가진 것을 단정하게 묶어 두기에 알맞아요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오래 쓰지 않는 물건을 계절마다 조금씩 비워 두면 안정이 들어설 자리가 넉넉해집니다</t>
    </r>
    <r>
      <rPr>
        <sz val="10"/>
        <rFont val="맑은 고딕"/>
        <family val="0"/>
        <charset val="1"/>
      </rPr>
      <t xml:space="preserve">.</t>
    </r>
  </si>
  <si>
    <t xml:space="preserve">WISH_01_OPEN_4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</si>
  <si>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안정에 순풍이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그해에는 마음 놓고 기댈 바탕을 넓히고 다지기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시간만큼은 지키는 연습을 해 두면 열린 흐름을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</si>
  <si>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WISH_01_OPEN_5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</si>
  <si>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안정의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그해에는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곁의 사람을 한 방향으로 정리하는 일이 한결 가볍게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안정이 무엇인지 세 가지로 적어 두면 열린 문 앞에서 무엇부터 할지 헤매지 않을 수 있습니다</t>
    </r>
    <r>
      <rPr>
        <sz val="10"/>
        <rFont val="맑은 고딕"/>
        <family val="0"/>
        <charset val="1"/>
      </rPr>
      <t xml:space="preserve">.</t>
    </r>
  </si>
  <si>
    <t xml:space="preserve">WISH_01_OPENFB_2</t>
  </si>
  <si>
    <t xml:space="preserve">fallback_text</t>
  </si>
  <si>
    <r>
      <rPr>
        <sz val="10"/>
        <rFont val="Noto Sans CJK SC"/>
        <family val="2"/>
      </rPr>
      <t xml:space="preserve">다섯 해 동안은 안정에 활짝 열리는 해가 뚜렷하게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 쌓는 습관이 가장 큰 힘이 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그중에서도 안정이 가장 가까워지는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다져 둔 생활의 기준을 한 번 점검하고 정리해 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</si>
  <si>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</t>
    </r>
  </si>
  <si>
    <t xml:space="preserve">WISH_01_OPENFB_3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</si>
  <si>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활짝 열리는 해는 따로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큰 바람을 기다리기보다 장보기와 정리처럼 반복되는 일에 나만의 순서를 정해 두는 쪽이 안정을 키워 줘요</t>
    </r>
    <r>
      <rPr>
        <sz val="10"/>
        <rFont val="맑은 고딕"/>
        <family val="0"/>
        <charset val="1"/>
      </rPr>
      <t xml:space="preserve">.</t>
    </r>
  </si>
  <si>
    <t xml:space="preserve">WISH_01_OPENFB_4</t>
  </si>
  <si>
    <r>
      <rPr>
        <sz val="10"/>
        <rFont val="Noto Sans CJK SC"/>
        <family val="2"/>
      </rPr>
      <t xml:space="preserve">다섯 해를 내다봐도 안정에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만드는 바탕이 더 중요한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그래도 안정 쪽으로 바람이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잠드는 시간이나 식사 시간 하나를 먼저 고정해 두고 그해를 맞아 보세요</t>
    </r>
    <r>
      <rPr>
        <sz val="10"/>
        <rFont val="맑은 고딕"/>
        <family val="0"/>
        <charset val="1"/>
      </rPr>
      <t xml:space="preserve">.</t>
    </r>
  </si>
  <si>
    <t xml:space="preserve">WISH_01_OPENFB_5</t>
  </si>
  <si>
    <r>
      <rPr>
        <sz val="10"/>
        <rFont val="Noto Sans CJK SC"/>
        <family val="2"/>
      </rPr>
      <t xml:space="preserve">이어질 다섯 해는 하늘이 안정을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하루를 어떻게 꾸리느냐가 바탕을 만드는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가까운 사람과 서로의 하루를 나누는 저녁을 꾸준히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</si>
  <si>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WISH_02_FAV_2</t>
  </si>
  <si>
    <r>
      <rPr>
        <sz val="10"/>
        <rFont val="Noto Sans CJK SC"/>
        <family val="2"/>
      </rPr>
      <t xml:space="preserve">다가오는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무대나 더 큰 역할로 한 걸음 나아갈 문이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안에 관심 있던 자리나 프로젝트에 대해 아는 사람 한 명에게 먼저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몰릴 때일수록 가장 마음이 가는 것 하나를 골라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</si>
  <si>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WISH_02_FAV_3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</si>
  <si>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도약을 꿈꾸는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실력이 다른 사람 눈에 띄고 손을 내미는 사람도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한 문단으로 정리해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제안이 왔을 때 망설이지 않고 답할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들뜬 마음에 약속을 너무 많이 하지 않도록 일정표에 빈칸을 남겨 두세요</t>
    </r>
    <r>
      <rPr>
        <sz val="10"/>
        <rFont val="맑은 고딕"/>
        <family val="0"/>
        <charset val="1"/>
      </rPr>
      <t xml:space="preserve">.</t>
    </r>
  </si>
  <si>
    <t xml:space="preserve">WISH_02_FAV_4</t>
  </si>
  <si>
    <r>
      <rPr>
        <sz val="10"/>
        <rFont val="Noto Sans CJK SC"/>
        <family val="2"/>
      </rPr>
      <t xml:space="preserve">한 단계 위로 올라서고 싶었다면 다가오는 해를 눈여겨볼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배워 둔 것과 해 온 경험이 눈에 보이는 결과로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망설이던 공모나 지원서 하나를 골라 마감 전에 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</si>
  <si>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WISH_02_FAV_5</t>
  </si>
  <si>
    <r>
      <rPr>
        <sz val="10"/>
        <rFont val="Noto Sans CJK SC"/>
        <family val="2"/>
      </rPr>
      <t xml:space="preserve">도약을 바라 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등 뒤에서 바람이 불어 주는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사람과 기회 사이를 잇는 다리가 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해 온 일을 한 장으로 정리해 가까운 동료나 선배에게 의견을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붙더라도 쉬는 날만큼은 먼저 지켜 두는 편이 오래 달리는 힘이 됩니다</t>
    </r>
    <r>
      <rPr>
        <sz val="10"/>
        <rFont val="맑은 고딕"/>
        <family val="0"/>
        <charset val="1"/>
      </rPr>
      <t xml:space="preserve">.</t>
    </r>
  </si>
  <si>
    <t xml:space="preserve">WISH_02_NEU_2</t>
  </si>
  <si>
    <r>
      <rPr>
        <sz val="10"/>
        <rFont val="Noto Sans CJK SC"/>
        <family val="2"/>
      </rPr>
      <t xml:space="preserve">다가오는 해는 도약을 위한 판이 저절로 깔리기보다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문을 두드리느냐에 따라 같은 해도 전혀 다르게 흘러가요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싶은 방향을 한 줄로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방향에 맞는 작은 배움 하나를 이번 계절 안에 시작해 보세요</t>
    </r>
    <r>
      <rPr>
        <sz val="10"/>
        <rFont val="맑은 고딕"/>
        <family val="0"/>
        <charset val="1"/>
      </rPr>
      <t xml:space="preserve">.</t>
    </r>
  </si>
  <si>
    <t xml:space="preserve">WISH_02_NEU_3</t>
  </si>
  <si>
    <r>
      <rPr>
        <sz val="10"/>
        <rFont val="Noto Sans CJK SC"/>
        <family val="2"/>
      </rPr>
      <t xml:space="preserve">도약의 높이는 다가오는 해에 오롯이 내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점심시간이나 퇴근길에 관심 분야의 글 한 편을 읽고 떠오른 생각을 메모로 남겨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쌓인 메모가 다음 발판이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등을 살짝 밀어 줄 수도 있습니다</t>
    </r>
    <r>
      <rPr>
        <sz val="10"/>
        <rFont val="맑은 고딕"/>
        <family val="0"/>
        <charset val="1"/>
      </rPr>
      <t xml:space="preserve">.</t>
    </r>
  </si>
  <si>
    <t xml:space="preserve">WISH_02_NEU_4</t>
  </si>
  <si>
    <r>
      <rPr>
        <sz val="10"/>
        <rFont val="Noto Sans CJK SC"/>
        <family val="2"/>
      </rPr>
      <t xml:space="preserve">다가오는 해에 도약이 이루어질지는 하늘보다 나에게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꼭 해 보고 싶은 일 하나를 정해 함께해 줄 사람에게 미리 알려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말로 꺼낸 목표는 혼자 품은 목표보다 한 걸음 더 빨리 움직이기 쉽습니다</t>
    </r>
    <r>
      <rPr>
        <sz val="10"/>
        <rFont val="맑은 고딕"/>
        <family val="0"/>
        <charset val="1"/>
      </rPr>
      <t xml:space="preserve">.</t>
    </r>
  </si>
  <si>
    <t xml:space="preserve">WISH_02_NEU_5</t>
  </si>
  <si>
    <r>
      <rPr>
        <sz val="10"/>
        <rFont val="Noto Sans CJK SC"/>
        <family val="2"/>
      </rPr>
      <t xml:space="preserve">어디까지 뛰어오를지는 다가오는 해에 내가 정하는 몫이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도약의 높이는 준비한 만큼 달라집니다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가진 강점 하나를 골라 그것을 보여 줄 작은 결과물을 만들어 보세요</t>
    </r>
    <r>
      <rPr>
        <sz val="10"/>
        <rFont val="맑은 고딕"/>
        <family val="0"/>
        <charset val="1"/>
      </rPr>
      <t xml:space="preserve">.</t>
    </r>
  </si>
  <si>
    <t xml:space="preserve">WISH_02_HEAD_2</t>
  </si>
  <si>
    <r>
      <rPr>
        <sz val="10"/>
        <rFont val="Noto Sans CJK SC"/>
        <family val="2"/>
      </rPr>
      <t xml:space="preserve">도약을 꿈꾸지만 다가오는 해는 발밑을 단단히 하는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기대했던 기회가 늦게 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넘어야 할 조건이 먼저 앞을 막기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때는 다음 단계에 필요한 자격이나 기술을 하나 정해 꾸준히 익혀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쌓은 준비는 문이 열렸을 때 망설임 없이 뛰어오를 힘이 됩니다</t>
    </r>
    <r>
      <rPr>
        <sz val="10"/>
        <rFont val="맑은 고딕"/>
        <family val="0"/>
        <charset val="1"/>
      </rPr>
      <t xml:space="preserve">.</t>
    </r>
  </si>
  <si>
    <t xml:space="preserve">WISH_02_HEAD_3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</si>
  <si>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도약보다 버티며 실력을 쌓는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일의 무게는 늘어나는데 성과가 바로 드러나지 않아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배운 것과 해낸 것을 한 장에 정리해 스스로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쌓일수록 다음 도약을 받칠 발판도 그만큼 높아집니다</t>
    </r>
    <r>
      <rPr>
        <sz val="10"/>
        <rFont val="맑은 고딕"/>
        <family val="0"/>
        <charset val="1"/>
      </rPr>
      <t xml:space="preserve">.</t>
    </r>
  </si>
  <si>
    <t xml:space="preserve">WISH_02_HEAD_4</t>
  </si>
  <si>
    <r>
      <rPr>
        <sz val="10"/>
        <rFont val="Noto Sans CJK SC"/>
        <family val="2"/>
      </rPr>
      <t xml:space="preserve">다가오는 해는 높이 뛰기보다 깊이 디딜 곳을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도약에는 시간이 조금 더 필요해요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 있는 자리에서 시험받는 듯한 순간이 이어질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시험을 피하기보다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 하나를 끝까지 완성해 내는 경험으로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끝까지 해낸 경험은 다음 도약에서 나를 믿게 해 주는 근거가 됩니다</t>
    </r>
    <r>
      <rPr>
        <sz val="10"/>
        <rFont val="맑은 고딕"/>
        <family val="0"/>
        <charset val="1"/>
      </rPr>
      <t xml:space="preserve">.</t>
    </r>
  </si>
  <si>
    <t xml:space="preserve">WISH_02_HEAD_5</t>
  </si>
  <si>
    <r>
      <rPr>
        <sz val="10"/>
        <rFont val="Noto Sans CJK SC"/>
        <family val="2"/>
      </rPr>
      <t xml:space="preserve">도약을 향한 마음에 비해 다가오는 해는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일이 계획보다 천천히 진행되고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조건을 하나씩 채워야 다음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그림은 그대로 두되 이 해에 이룰 목표는 손에 잡히는 크기로 줄여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이룬 것들이 모여 다음 해의 출발선을 한참 앞으로 옮겨 줄 수 있습니다</t>
    </r>
    <r>
      <rPr>
        <sz val="10"/>
        <rFont val="맑은 고딕"/>
        <family val="0"/>
        <charset val="1"/>
      </rPr>
      <t xml:space="preserve">.</t>
    </r>
  </si>
  <si>
    <t xml:space="preserve">WISH_02_OPEN_2</t>
  </si>
  <si>
    <r>
      <rPr>
        <sz val="10"/>
        <rFont val="Noto Sans CJK SC"/>
        <family val="2"/>
      </rPr>
      <t xml:space="preserve">바라던 도약은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힘을 얻어요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더 넓은 무대로 나서는 일이 한결 자연스러워지기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내가 잘하는 것을 보여 줄 작은 결과물을 하나씩 모아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문 앞에서 내밀 것이 넉넉해져요</t>
    </r>
    <r>
      <rPr>
        <sz val="10"/>
        <rFont val="맑은 고딕"/>
        <family val="0"/>
        <charset val="1"/>
      </rPr>
      <t xml:space="preserve">.</t>
    </r>
  </si>
  <si>
    <t xml:space="preserve">WISH_02_OPEN_3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</si>
  <si>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미뤄 둔 도전이 앞으로 나아가기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망설이던 자리에 손을 들어 보거나 새로운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그 자리에 있는 사람들의 이야기를 듣고 필요한 것을 하나씩 익혀 두면 첫걸음이 훨씬 가벼워져요</t>
    </r>
    <r>
      <rPr>
        <sz val="10"/>
        <rFont val="맑은 고딕"/>
        <family val="0"/>
        <charset val="1"/>
      </rPr>
      <t xml:space="preserve">.</t>
    </r>
  </si>
  <si>
    <t xml:space="preserve">WISH_02_OPEN_4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</si>
  <si>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도약을 향한 걸음에 힘이 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하고 싶던 일을 더 큰 크기로 시도해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함께 일해 보고 싶은 사람과 미리 작은 협업을 해 두면 열리는 흐름을 더 멀리 타고 갈 수 있습니다</t>
    </r>
    <r>
      <rPr>
        <sz val="10"/>
        <rFont val="맑은 고딕"/>
        <family val="0"/>
        <charset val="1"/>
      </rPr>
      <t xml:space="preserve">.</t>
    </r>
  </si>
  <si>
    <t xml:space="preserve">WISH_02_OPEN_5</t>
  </si>
  <si>
    <r>
      <rPr>
        <sz val="10"/>
        <rFont val="Noto Sans CJK SC"/>
        <family val="2"/>
      </rPr>
      <t xml:space="preserve">기다려 온 도약의 순간은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한층 가까워집니다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준비해 둔 것이 기회와 맞닿기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계절마다 하나씩 새 기술이나 경험을 더해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문을 지날 때 손에 쥔 것이 많아질 수 있습니다</t>
    </r>
    <r>
      <rPr>
        <sz val="10"/>
        <rFont val="맑은 고딕"/>
        <family val="0"/>
        <charset val="1"/>
      </rPr>
      <t xml:space="preserve">.</t>
    </r>
  </si>
  <si>
    <t xml:space="preserve">WISH_02_OPENFB_2</t>
  </si>
  <si>
    <r>
      <rPr>
        <sz val="10"/>
        <rFont val="Noto Sans CJK SC"/>
        <family val="2"/>
      </rPr>
      <t xml:space="preserve">다섯 해 안에 도약이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쌓는 준비가 높이를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도약에 조금 더 힘이 실리니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내밀 결과물 하나를 지금부터 천천히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</si>
  <si>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</si>
  <si>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한 번보다 작은 시도를 자주 하는 쪽이 도약의 길을 넓혀 줘요</t>
    </r>
    <r>
      <rPr>
        <sz val="10"/>
        <rFont val="맑은 고딕"/>
        <family val="0"/>
        <charset val="1"/>
      </rPr>
      <t xml:space="preserve">.</t>
    </r>
  </si>
  <si>
    <t xml:space="preserve">WISH_02_OPENFB_4</t>
  </si>
  <si>
    <r>
      <rPr>
        <sz val="10"/>
        <rFont val="Noto Sans CJK SC"/>
        <family val="2"/>
      </rPr>
      <t xml:space="preserve">이어질 다섯 해는 순풍을 기다리기보다 실력을 계단처럼 쌓아 올리는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도약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배우고 싶은 것 하나를 정해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</si>
  <si>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WISH_02_OPENFB_5</t>
  </si>
  <si>
    <r>
      <rPr>
        <sz val="10"/>
        <rFont val="Noto Sans CJK SC"/>
        <family val="2"/>
      </rPr>
      <t xml:space="preserve">다섯 해를 내다봐도 도약에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차곡차곡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그렇게 쌓아 온 것이 드러나기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해낸 일을 한 줄씩 남겨 두면 좋습니다</t>
    </r>
    <r>
      <rPr>
        <sz val="10"/>
        <rFont val="맑은 고딕"/>
        <family val="0"/>
        <charset val="1"/>
      </rPr>
      <t xml:space="preserve">.</t>
    </r>
  </si>
  <si>
    <t xml:space="preserve">WISH_03_FAV_2</t>
  </si>
  <si>
    <r>
      <rPr>
        <sz val="10"/>
        <rFont val="Noto Sans CJK SC"/>
        <family val="2"/>
      </rPr>
      <t xml:space="preserve">다가오는 해는 지친 마음이 숨을 고르기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애써 붙잡지 않아도 기운이 조금씩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한 시간 전에는 화면을 내려놓고 조명을 낮추는 저녁 습관을 들여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회복은 하루아침에 끝나지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나아지는 느낌을 천천히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</si>
  <si>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WISH_03_FAV_3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</si>
  <si>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회복을 바라는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쉼답게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즐거움에서도 다시 힘이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아침 한 번쯤은 알람 없이 일어나 천천히 걷는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힘이 돌아온 만큼 약속을 늘리기보다 회복한 자리를 지키는 데 먼저 쓰는 편이 좋습니다</t>
    </r>
    <r>
      <rPr>
        <sz val="10"/>
        <rFont val="맑은 고딕"/>
        <family val="0"/>
        <charset val="1"/>
      </rPr>
      <t xml:space="preserve">.</t>
    </r>
  </si>
  <si>
    <t xml:space="preserve">WISH_03_FAV_4</t>
  </si>
  <si>
    <r>
      <rPr>
        <sz val="10"/>
        <rFont val="Noto Sans CJK SC"/>
        <family val="2"/>
      </rPr>
      <t xml:space="preserve">오래 쉬지 못했다면 다가오는 해를 회복의 해로 삼아도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데다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내려놓을 틈이 자연스레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번은 좋아하는 음악을 틀어 놓고 아무것도 하지 않는 시간을 가져 보세요</t>
    </r>
    <r>
      <rPr>
        <sz val="10"/>
        <rFont val="맑은 고딕"/>
        <family val="0"/>
        <charset val="1"/>
      </rPr>
      <t xml:space="preserve">.</t>
    </r>
  </si>
  <si>
    <t xml:space="preserve">WISH_03_FAV_5</t>
  </si>
  <si>
    <r>
      <rPr>
        <sz val="10"/>
        <rFont val="Noto Sans CJK SC"/>
        <family val="2"/>
      </rPr>
      <t xml:space="preserve">다가오는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그동안 쌓인 피로를 풀고 리듬을 다시 맞추기가 한결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물로 씻고 일찍 눕는 저녁을 한 주에 두어 번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기운이 차오를수록 그 저녁들을 쉽게 내주지 않는 것이 중요합니다</t>
    </r>
    <r>
      <rPr>
        <sz val="10"/>
        <rFont val="맑은 고딕"/>
        <family val="0"/>
        <charset val="1"/>
      </rPr>
      <t xml:space="preserve">.</t>
    </r>
  </si>
  <si>
    <t xml:space="preserve">WISH_03_NEU_2</t>
  </si>
  <si>
    <r>
      <rPr>
        <sz val="10"/>
        <rFont val="Noto Sans CJK SC"/>
        <family val="2"/>
      </rPr>
      <t xml:space="preserve">다가오는 해는 회복이라는 바람에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미루느냐 지키느냐가 한 해의 컨디션을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마칠 때 오늘 나를 쉬게 한 순간 하나를 짧게 적어 보세요</t>
    </r>
    <r>
      <rPr>
        <sz val="10"/>
        <rFont val="맑은 고딕"/>
        <family val="0"/>
        <charset val="1"/>
      </rPr>
      <t xml:space="preserve">.</t>
    </r>
  </si>
  <si>
    <t xml:space="preserve">WISH_03_NEU_3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</si>
  <si>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기다리기보다 직접 챙겨야 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쉼의 방식이 회복의 깊이를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점심을 먹고 십 분이라도 밖에 나가 햇빛을 쬐는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</si>
  <si>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WISH_03_NEU_4</t>
  </si>
  <si>
    <r>
      <rPr>
        <sz val="10"/>
        <rFont val="Noto Sans CJK SC"/>
        <family val="2"/>
      </rPr>
      <t xml:space="preserve">쉼을 얼마나 아끼느냐에 따라 다가오는 해의 회복이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휴대폰 알림을 끄는 시간대를 하루 한 번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시간만큼은 나에게 돌려주세요</t>
    </r>
    <r>
      <rPr>
        <sz val="10"/>
        <rFont val="맑은 고딕"/>
        <family val="0"/>
        <charset val="1"/>
      </rPr>
      <t xml:space="preserve">.</t>
    </r>
  </si>
  <si>
    <t xml:space="preserve">WISH_03_NEU_5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</si>
  <si>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다가오는 해에는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회복도 내가 만드는 만큼 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 작은 쉼이 모여 큰 차이를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오면 가장 먼저 편한 옷으로 갈아입고 오 분 동안 숨을 고르는 나만의 신호를 만들어 보세요</t>
    </r>
    <r>
      <rPr>
        <sz val="10"/>
        <rFont val="맑은 고딕"/>
        <family val="0"/>
        <charset val="1"/>
      </rPr>
      <t xml:space="preserve">.</t>
    </r>
  </si>
  <si>
    <t xml:space="preserve">WISH_03_HEAD_2</t>
  </si>
  <si>
    <r>
      <rPr>
        <sz val="10"/>
        <rFont val="Noto Sans CJK SC"/>
        <family val="2"/>
      </rPr>
      <t xml:space="preserve">회복을 바라는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쉴 틈이 좁아지기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늘어나 피로가 생각보다 오래 머물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큰 휴가로 미루기보다 매일 짧게 나눠 갖는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날들 사이에 지켜 낸 짧은 쉼은 다음 해까지 이어지는 회복의 체력이 되어 줘요</t>
    </r>
    <r>
      <rPr>
        <sz val="10"/>
        <rFont val="맑은 고딕"/>
        <family val="0"/>
        <charset val="1"/>
      </rPr>
      <t xml:space="preserve">.</t>
    </r>
  </si>
  <si>
    <t xml:space="preserve">WISH_03_HEAD_3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</si>
  <si>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쉼보다 책임이 먼저 줄을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회복을 원하는 만큼 시간을 내기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마음이 쉽게 풀리지 않는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할 일 목록 맨 위에 ‘쉬기’를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일처럼 끝낸 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쉼을 지켜 본 경험이 앞으로 나를 돌보는 단단한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</si>
  <si>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WISH_03_HEAD_4</t>
  </si>
  <si>
    <r>
      <rPr>
        <sz val="10"/>
        <rFont val="Noto Sans CJK SC"/>
        <family val="2"/>
      </rPr>
      <t xml:space="preserve">다가오는 해는 회복을 서두르기보다 회복할 토대를 쌓는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일이 시험처럼 이어져 몸과 마음이 무겁게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 하나만큼은 이 해 내내 지키겠다고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하나의 약속이 무거운 해를 지나 다시 힘을 채울 바닥이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</si>
  <si>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WISH_03_HEAD_5</t>
  </si>
  <si>
    <r>
      <rPr>
        <sz val="10"/>
        <rFont val="Noto Sans CJK SC"/>
        <family val="2"/>
      </rPr>
      <t xml:space="preserve">회복이라는 바람에서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조건이 겹치면서 쉬어도 개운하지 않은 날이 이어질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다 해내려 하기보다 덜어 낼 일 하나를 골라 누군가에게 부탁해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배운 ‘나누고 맡기는 법’은 이후 회복을 오래 지켜 주는 힘이 됩니다</t>
    </r>
    <r>
      <rPr>
        <sz val="10"/>
        <rFont val="맑은 고딕"/>
        <family val="0"/>
        <charset val="1"/>
      </rPr>
      <t xml:space="preserve">.</t>
    </r>
  </si>
  <si>
    <t xml:space="preserve">WISH_03_OPEN_2</t>
  </si>
  <si>
    <r>
      <rPr>
        <sz val="10"/>
        <rFont val="Noto Sans CJK SC"/>
        <family val="2"/>
      </rPr>
      <t xml:space="preserve">바라던 회복은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깊어지기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쉬는 만큼 힘이 차오르는 느낌을 누리기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한 주에 한 번 아무 일정 없는 반나절을 지켜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흐름을 더 온전히 받을 수 있어요</t>
    </r>
    <r>
      <rPr>
        <sz val="10"/>
        <rFont val="맑은 고딕"/>
        <family val="0"/>
        <charset val="1"/>
      </rPr>
      <t xml:space="preserve">.</t>
    </r>
  </si>
  <si>
    <t xml:space="preserve">WISH_03_OPEN_3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</si>
  <si>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쌓인 피로를 풀어내기가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일의 속도를 조금 늦추고 나를 채우는 시간에 마음을 써도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잠자리 환경을 조금씩 편안하게 바꿔 두면 그 흐름을 더 깊이 누릴 수 있습니다</t>
    </r>
    <r>
      <rPr>
        <sz val="10"/>
        <rFont val="맑은 고딕"/>
        <family val="0"/>
        <charset val="1"/>
      </rPr>
      <t xml:space="preserve">.</t>
    </r>
  </si>
  <si>
    <t xml:space="preserve">WISH_03_OPEN_4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</si>
  <si>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지친 마음에 다시 볕이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휴식이나 짧은 여행처럼 나를 쉬게 하는 계획을 세워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무엇을 할 때 가장 편안해지는지 틈틈이 적어 두면 그해의 쉼을 더 알차게 채울 수 있어요</t>
    </r>
    <r>
      <rPr>
        <sz val="10"/>
        <rFont val="맑은 고딕"/>
        <family val="0"/>
        <charset val="1"/>
      </rPr>
      <t xml:space="preserve">.</t>
    </r>
  </si>
  <si>
    <t xml:space="preserve">WISH_03_OPEN_5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</si>
  <si>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넉넉해집니다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몸과 마음의 리듬을 다시 세우기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하루 중 숨 고를 틈을 조금씩 늘려 두면 그해의 회복이 더 오래 이어질 수 있습니다</t>
    </r>
    <r>
      <rPr>
        <sz val="10"/>
        <rFont val="맑은 고딕"/>
        <family val="0"/>
        <charset val="1"/>
      </rPr>
      <t xml:space="preserve">.</t>
    </r>
  </si>
  <si>
    <t xml:space="preserve">WISH_03_OPENFB_2</t>
  </si>
  <si>
    <r>
      <rPr>
        <sz val="10"/>
        <rFont val="Noto Sans CJK SC"/>
        <family val="2"/>
      </rPr>
      <t xml:space="preserve">다섯 해 안에 회복이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리듬이 무엇보다 중요한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회복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잠드는 시간을 일정하게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</si>
  <si>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WISH_03_OPENFB_3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</si>
  <si>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휴식을 기다리기보다 하루 중 짧은 쉼표를 여러 번 찍는 습관이 회복을 키워 줘요</t>
    </r>
    <r>
      <rPr>
        <sz val="10"/>
        <rFont val="맑은 고딕"/>
        <family val="0"/>
        <charset val="1"/>
      </rPr>
      <t xml:space="preserve">.</t>
    </r>
  </si>
  <si>
    <t xml:space="preserve">WISH_03_OPENFB_4</t>
  </si>
  <si>
    <r>
      <rPr>
        <sz val="10"/>
        <rFont val="Noto Sans CJK SC"/>
        <family val="2"/>
      </rPr>
      <t xml:space="preserve">이어질 다섯 해는 하늘이 쉼을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내가 만들어야 하는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하루는 저녁 약속을 비워 두는 연습을 이어 가 보세요</t>
    </r>
    <r>
      <rPr>
        <sz val="10"/>
        <rFont val="맑은 고딕"/>
        <family val="0"/>
        <charset val="1"/>
      </rPr>
      <t xml:space="preserve">.</t>
    </r>
  </si>
  <si>
    <t xml:space="preserve">WISH_03_OPENFB_5</t>
  </si>
  <si>
    <r>
      <rPr>
        <sz val="10"/>
        <rFont val="Noto Sans CJK SC"/>
        <family val="2"/>
      </rPr>
      <t xml:space="preserve">다섯 해를 내다봐도 회복에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돌봄을 꾸준히 이어 가는 힘이 더 커요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돌봄이 한결 깊게 스며들기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 한 잔이나 짧은 산책처럼 나를 달래는 방법을 미리 몇 가지 찾아 두면 좋습니다</t>
    </r>
    <r>
      <rPr>
        <sz val="10"/>
        <rFont val="맑은 고딕"/>
        <family val="0"/>
        <charset val="1"/>
      </rPr>
      <t xml:space="preserve">.</t>
    </r>
  </si>
  <si>
    <t xml:space="preserve">WISH_04_FAV_2</t>
  </si>
  <si>
    <r>
      <rPr>
        <sz val="10"/>
        <rFont val="Noto Sans CJK SC"/>
        <family val="2"/>
      </rPr>
      <t xml:space="preserve">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마음을 나누는 순간이 한결 따뜻하고 부드럽게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소중한 사람에게 짧은 손편지나 메시지로 평소 하지 못한 말을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받는 속도는 사람마다 다르니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재촉하지 않고 기다려 주는 여유도 함께 챙기면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</si>
  <si>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</si>
  <si>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WISH_04_FAV_3</t>
  </si>
  <si>
    <r>
      <rPr>
        <sz val="10"/>
        <rFont val="Noto Sans CJK SC"/>
        <family val="2"/>
      </rPr>
      <t xml:space="preserve">다가오는 해는 사랑을 주고받는 일이 한결 수월해지는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나를 아끼는 마음도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아끼는 마음도 자연스럽게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하는 작은 선물을 스스로에게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다정하게 대하는 연습이 쌓일수록 관계 안의 다정함도 넓어집니다</t>
    </r>
    <r>
      <rPr>
        <sz val="10"/>
        <rFont val="맑은 고딕"/>
        <family val="0"/>
        <charset val="1"/>
      </rPr>
      <t xml:space="preserve">.</t>
    </r>
  </si>
  <si>
    <t xml:space="preserve">WISH_04_FAV_4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</si>
  <si>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읽힙니다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사람과의 대화가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다른 점도 너그럽게 바라보기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걷는 산책이나 같이 차리는 밥상처럼 가까운 사람과 나누는 작은 의식을 하나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상대에게 같은 온도를 바라기보다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편하게 표현하는 데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</si>
  <si>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WISH_04_FAV_5</t>
  </si>
  <si>
    <r>
      <rPr>
        <sz val="10"/>
        <rFont val="Noto Sans CJK SC"/>
        <family val="2"/>
      </rPr>
      <t xml:space="preserve">설레는 마음으로 맞아도 좋을 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다정한 말과 눈빛이 오가는 순간이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사람과 함께 해 보고 싶었던 일 하나를 골라 가볍게 제안해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웃는 시간이 쌓일수록 관계의 온도도 한 뼘씩 올라갈 수 있어요</t>
    </r>
    <r>
      <rPr>
        <sz val="10"/>
        <rFont val="맑은 고딕"/>
        <family val="0"/>
        <charset val="1"/>
      </rPr>
      <t xml:space="preserve">.</t>
    </r>
  </si>
  <si>
    <t xml:space="preserve">WISH_04_NEU_2</t>
  </si>
  <si>
    <r>
      <rPr>
        <sz val="10"/>
        <rFont val="Noto Sans CJK SC"/>
        <family val="2"/>
      </rPr>
      <t xml:space="preserve">사랑이라는 바람 앞에서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다정함이 관계의 결을 만들어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사람의 이야기를 끝까지 들어 주는 시간을 가져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</si>
  <si>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</si>
  <si>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WISH_04_NEU_3</t>
  </si>
  <si>
    <r>
      <rPr>
        <sz val="10"/>
        <rFont val="Noto Sans CJK SC"/>
        <family val="2"/>
      </rPr>
      <t xml:space="preserve">사랑이 깊어질지는 다가오는 해에 하늘보다 내 마음가짐에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 내가 지키고 싶은 것 하나와 내어 줄 수 있는 것 하나를 나란히 적어 보세요</t>
    </r>
    <r>
      <rPr>
        <sz val="10"/>
        <rFont val="맑은 고딕"/>
        <family val="0"/>
        <charset val="1"/>
      </rPr>
      <t xml:space="preserve">.</t>
    </r>
  </si>
  <si>
    <t xml:space="preserve">WISH_04_NEU_4</t>
  </si>
  <si>
    <r>
      <rPr>
        <sz val="10"/>
        <rFont val="Noto Sans CJK SC"/>
        <family val="2"/>
      </rPr>
      <t xml:space="preserve">다가오는 해의 사랑은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말로 요약할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표현 하나가 관계의 온도를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고마운 사람에게 ‘덕분에’라는 말을 한 번 꺼내 보세요</t>
    </r>
    <r>
      <rPr>
        <sz val="10"/>
        <rFont val="맑은 고딕"/>
        <family val="0"/>
        <charset val="1"/>
      </rPr>
      <t xml:space="preserve">.</t>
    </r>
  </si>
  <si>
    <t xml:space="preserve">WISH_04_NEU_5</t>
  </si>
  <si>
    <r>
      <rPr>
        <sz val="10"/>
        <rFont val="Noto Sans CJK SC"/>
        <family val="2"/>
      </rPr>
      <t xml:space="preserve">사랑을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대하는 태도가 관계를 대하는 태도로 그대로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거울 앞에서 나에게 다정한 말 한마디를 건네는 아침 습관부터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</si>
  <si>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WISH_04_HEAD_2</t>
  </si>
  <si>
    <r>
      <rPr>
        <sz val="10"/>
        <rFont val="Noto Sans CJK SC"/>
        <family val="2"/>
      </rPr>
      <t xml:space="preserve">사랑을 바라는 마음이 큰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기다림이 길게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관계 안에서 맡은 책임이 무겁거나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나누기까지 시간이 더 걸리기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서운한 마음이 들 때 바로 말하기보다 하루쯤 두었다가 차분한 문장으로 정리해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대화의 방식은 오래 가는 관계를 받치는 든든한 기둥이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</si>
  <si>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</si>
  <si>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</si>
  <si>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 앞에서 조금 더 신중해지는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기대한 만큼 마음이 돌아오지 않는 것 같거나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따르는 조건이 무겁게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상대를 바꾸려 하기보다 관계에서 내가 편안한 거리와 속도를 살펴보는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알게 된 나의 속도는 앞으로 누구와 마음을 나누든 나를 지켜 주는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</si>
  <si>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WISH_04_HEAD_4</t>
  </si>
  <si>
    <r>
      <rPr>
        <sz val="10"/>
        <rFont val="Noto Sans CJK SC"/>
        <family val="2"/>
      </rPr>
      <t xml:space="preserve">다가오는 해는 사랑을 서두르기보다 다지는 쪽에 무게가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마음은 있어도 표현할 여유가 없거나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관계의 일이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주에도 아끼는 사람에게 짧은 안부 한 줄은 남기는 나만의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약속을 지켜 온 시간은 관계를 오래 받쳐 주는 믿음의 바탕이 됩니다</t>
    </r>
    <r>
      <rPr>
        <sz val="10"/>
        <rFont val="맑은 고딕"/>
        <family val="0"/>
        <charset val="1"/>
      </rPr>
      <t xml:space="preserve">.</t>
    </r>
  </si>
  <si>
    <t xml:space="preserve">WISH_04_HEAD_5</t>
  </si>
  <si>
    <r>
      <rPr>
        <sz val="10"/>
        <rFont val="Noto Sans CJK SC"/>
        <family val="2"/>
      </rPr>
      <t xml:space="preserve">사랑에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 속 내 몫의 책임을 돌아보는 순간이 늘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저녁에 ‘나는 어떤 사랑을 주고받고 싶은가’를 세 문장으로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그 문장들이 앞으로의 관계에서 길잡이가 되어 줄 수 있어요</t>
    </r>
    <r>
      <rPr>
        <sz val="10"/>
        <rFont val="맑은 고딕"/>
        <family val="0"/>
        <charset val="1"/>
      </rPr>
      <t xml:space="preserve">.</t>
    </r>
  </si>
  <si>
    <t xml:space="preserve">WISH_04_OPEN_2</t>
  </si>
  <si>
    <r>
      <rPr>
        <sz val="10"/>
        <rFont val="Noto Sans CJK SC"/>
        <family val="2"/>
      </rPr>
      <t xml:space="preserve">바라던 사랑은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따뜻하게 다가오기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마음을 표현하고 받아들이는 일이 자연스러워지기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기쁘게 하는 것들을 하나씩 알아 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나다운 방식으로 사랑을 나누기 쉬워져요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</si>
  <si>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</si>
  <si>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</si>
  <si>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관계 안의 다정함이 한층 깊어지기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아끼지 말고 표현해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감정을 솔직하게 말로 옮기는 연습을 일상 대화에서 조금씩 해 두면 그해의 표현이 한결 편안해져요</t>
    </r>
    <r>
      <rPr>
        <sz val="10"/>
        <rFont val="맑은 고딕"/>
        <family val="0"/>
        <charset val="1"/>
      </rPr>
      <t xml:space="preserve">.</t>
    </r>
  </si>
  <si>
    <t xml:space="preserve">WISH_04_OPEN_4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</si>
  <si>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마음에 순한 바람이 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관계의 속도를 내 마음에 맞춰 천천히 키워 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혼자서도 즐거운 하루를 꾸리는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사랑이 더 건강하게 자랄 수 있어요</t>
    </r>
    <r>
      <rPr>
        <sz val="10"/>
        <rFont val="맑은 고딕"/>
        <family val="0"/>
        <charset val="1"/>
      </rPr>
      <t xml:space="preserve">.</t>
    </r>
  </si>
  <si>
    <t xml:space="preserve">WISH_04_OPEN_5</t>
  </si>
  <si>
    <r>
      <rPr>
        <sz val="10"/>
        <rFont val="Noto Sans CJK SC"/>
        <family val="2"/>
      </rPr>
      <t xml:space="preserve">앞으로의 흐름에서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사랑에 가장 넉넉한 볕이 듭니다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아끼는 사람과의 거리가 한결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서운함을 말하는 나만의 부드러운 방법을 찾아 두면 그 볕을 더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</si>
  <si>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WISH_04_OPENFB_2</t>
  </si>
  <si>
    <r>
      <rPr>
        <sz val="10"/>
        <rFont val="Noto Sans CJK SC"/>
        <family val="2"/>
      </rPr>
      <t xml:space="preserve">다섯 해 안에 사랑이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가꾸는 방식이 관계의 온도를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사랑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고마움을 표현하는 습관을 천천히 길러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</si>
  <si>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</si>
  <si>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</si>
  <si>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하늘의 바람보다 나를 다정하게 대하는 연습이 사랑을 맞을 자리를 넓혀 줘요</t>
    </r>
    <r>
      <rPr>
        <sz val="10"/>
        <rFont val="맑은 고딕"/>
        <family val="0"/>
        <charset val="1"/>
      </rPr>
      <t xml:space="preserve">.</t>
    </r>
  </si>
  <si>
    <t xml:space="preserve">WISH_04_OPENFB_4</t>
  </si>
  <si>
    <r>
      <rPr>
        <sz val="10"/>
        <rFont val="Noto Sans CJK SC"/>
        <family val="2"/>
      </rPr>
      <t xml:space="preserve">이어질 다섯 해는 순풍을 기다리기보다 관계의 뿌리를 천천히 키우는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아끼는 사람들과 작은 약속을 지키는 경험을 쌓아 가 보세요</t>
    </r>
    <r>
      <rPr>
        <sz val="10"/>
        <rFont val="맑은 고딕"/>
        <family val="0"/>
        <charset val="1"/>
      </rPr>
      <t xml:space="preserve">.</t>
    </r>
  </si>
  <si>
    <t xml:space="preserve">WISH_04_OPENFB_5</t>
  </si>
  <si>
    <r>
      <rPr>
        <sz val="10"/>
        <rFont val="Noto Sans CJK SC"/>
        <family val="2"/>
      </rPr>
      <t xml:space="preserve">다섯 해를 내다봐도 사랑에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여는 마음의 크기가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마음이 닿기 한결 쉬워지니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서운함과 고마움을 모두 부드럽게 말하는 연습을 해 두면 좋습니다</t>
    </r>
    <r>
      <rPr>
        <sz val="10"/>
        <rFont val="맑은 고딕"/>
        <family val="0"/>
        <charset val="1"/>
      </rPr>
      <t xml:space="preserve">.</t>
    </r>
  </si>
  <si>
    <t xml:space="preserve">WISH_05_FAV_2</t>
  </si>
  <si>
    <r>
      <rPr>
        <sz val="10"/>
        <rFont val="Noto Sans CJK SC"/>
        <family val="2"/>
      </rPr>
      <t xml:space="preserve">다가오는 해는 좋은 사람들이 곁으로 모이기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함께 배우고 어울리는 자리에서 마음 맞는 사람을 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있는 주제의 소모임이나 원데이 수업에 한 번 신청해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만난 자리에서 다 친해지려 하기보다 한 사람과 깊게 이야기 나누는 쪽이 오래 남습니다</t>
    </r>
    <r>
      <rPr>
        <sz val="10"/>
        <rFont val="맑은 고딕"/>
        <family val="0"/>
        <charset val="1"/>
      </rPr>
      <t xml:space="preserve">.</t>
    </r>
  </si>
  <si>
    <t xml:space="preserve">WISH_05_FAV_3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</si>
  <si>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연결이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관계는 더 따뜻해지고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알게 된 사람과도 편안하게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 한 명을 떠올려 밥 한 끼나 차 한 잔을 먼저 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부탁에 응하기보다 내 시간을 아끼는 선도 함께 지키는 편이 좋습니다</t>
    </r>
    <r>
      <rPr>
        <sz val="10"/>
        <rFont val="맑은 고딕"/>
        <family val="0"/>
        <charset val="1"/>
      </rPr>
      <t xml:space="preserve">.</t>
    </r>
  </si>
  <si>
    <t xml:space="preserve">WISH_05_FAV_4</t>
  </si>
  <si>
    <r>
      <rPr>
        <sz val="10"/>
        <rFont val="Noto Sans CJK SC"/>
        <family val="2"/>
      </rPr>
      <t xml:space="preserve">곁에 좋은 사람들이 있기를 바라는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함께하는 일과 모임이 즐거워지고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돕는 관계가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잘하는 것을 작은 나눔으로 꺼내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비슷한 결의 사람들이 모여들기도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책이나 장소를 주변에 소개하는 것부터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</si>
  <si>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WISH_05_FAV_5</t>
  </si>
  <si>
    <r>
      <rPr>
        <sz val="10"/>
        <rFont val="Noto Sans CJK SC"/>
        <family val="2"/>
      </rPr>
      <t xml:space="preserve">좋은 사람들이라는 바람에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내가 먼저 마음을 열면 그만큼 따뜻한 반응이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이웃이나 동료에게 작은 간식을 건네거나 생일을 기억해 축하해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사람이 늘어나는 만큼 혼자 쉬는 시간도 미리 확보해 두면 관계를 더 즐겁게 이어 갈 수 있습니다</t>
    </r>
    <r>
      <rPr>
        <sz val="10"/>
        <rFont val="맑은 고딕"/>
        <family val="0"/>
        <charset val="1"/>
      </rPr>
      <t xml:space="preserve">.</t>
    </r>
  </si>
  <si>
    <t xml:space="preserve">WISH_05_NEU_2</t>
  </si>
  <si>
    <r>
      <rPr>
        <sz val="10"/>
        <rFont val="Noto Sans CJK SC"/>
        <family val="2"/>
      </rPr>
      <t xml:space="preserve">다가오는 해는 좋은 사람들과의 관계가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얼마나 마음을 쓰느냐에 따라 관계의 깊이가 달라지기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주 약속 하나를 내가 먼저 잡아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자리에서는 휴대폰을 내려 두고 이야기에 집중해 보세요</t>
    </r>
    <r>
      <rPr>
        <sz val="10"/>
        <rFont val="맑은 고딕"/>
        <family val="0"/>
        <charset val="1"/>
      </rPr>
      <t xml:space="preserve">.</t>
    </r>
  </si>
  <si>
    <t xml:space="preserve">WISH_05_NEU_3</t>
  </si>
  <si>
    <r>
      <rPr>
        <sz val="10"/>
        <rFont val="Noto Sans CJK SC"/>
        <family val="2"/>
      </rPr>
      <t xml:space="preserve">좋은 사람들이 곁에 머물지는 다가오는 해에 내가 들이는 정성에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어느 한쪽 힘이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배려가 관계를 오래 붙들어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중에 들은 상대의 소식 하나를 기억해 두었다가 다음에 먼저 물어봐 주세요</t>
    </r>
    <r>
      <rPr>
        <sz val="10"/>
        <rFont val="맑은 고딕"/>
        <family val="0"/>
        <charset val="1"/>
      </rPr>
      <t xml:space="preserve">.</t>
    </r>
  </si>
  <si>
    <t xml:space="preserve">WISH_05_NEU_4</t>
  </si>
  <si>
    <r>
      <rPr>
        <sz val="10"/>
        <rFont val="Noto Sans CJK SC"/>
        <family val="2"/>
      </rPr>
      <t xml:space="preserve">좋은 사람들을 바라는 마음에서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자리에 시간을 쓰느냐가 곁의 사람을 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일정 중 나를 지치게 하는 자리 하나를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편안한 사람과 보내 보세요</t>
    </r>
    <r>
      <rPr>
        <sz val="10"/>
        <rFont val="맑은 고딕"/>
        <family val="0"/>
        <charset val="1"/>
      </rPr>
      <t xml:space="preserve">.</t>
    </r>
  </si>
  <si>
    <t xml:space="preserve">WISH_05_NEU_5</t>
  </si>
  <si>
    <r>
      <rPr>
        <sz val="10"/>
        <rFont val="Noto Sans CJK SC"/>
        <family val="2"/>
      </rPr>
      <t xml:space="preserve">다가오는 해에 좋은 사람들과 가까워지는 길은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답게 내 발걸음에서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결이 맞는 자리를 스스로 찾아가는 힘이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활동 하나를 정해 같은 자리에 꾸준히 나가 보면 자연스레 얼굴을 익히는 사람이 생기기 쉬워요</t>
    </r>
    <r>
      <rPr>
        <sz val="10"/>
        <rFont val="맑은 고딕"/>
        <family val="0"/>
        <charset val="1"/>
      </rPr>
      <t xml:space="preserve">.</t>
    </r>
  </si>
  <si>
    <t xml:space="preserve">WISH_05_HEAD_2</t>
  </si>
  <si>
    <r>
      <rPr>
        <sz val="10"/>
        <rFont val="Noto Sans CJK SC"/>
        <family val="2"/>
      </rPr>
      <t xml:space="preserve">다가오는 해는 사람 사이에서 맡는 몫이 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모임을 이끌거나 누군가를 챙겨야 하는 일이 늘면서 좋은 사람들과 편히 어울릴 여유가 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내가 기댈 수 있는 사람 한 명에게 지금의 상황을 솔직하게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함께 나눈 경험은 서로를 오래 믿게 하는 관계의 뿌리로 남아요</t>
    </r>
    <r>
      <rPr>
        <sz val="10"/>
        <rFont val="맑은 고딕"/>
        <family val="0"/>
        <charset val="1"/>
      </rPr>
      <t xml:space="preserve">.</t>
    </r>
  </si>
  <si>
    <t xml:space="preserve">WISH_05_HEAD_3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</si>
  <si>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관계가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기대만큼 마음이 돌아오지 않거나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사정이 겹쳐 약속이 자꾸 미뤄지기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아쉬움을 쌓아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미뤄진 약속을 내가 먼저 짧은 통화로 대신해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곁에 남은 사람들이 더없이 든든한 내 편이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</si>
  <si>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WISH_05_HEAD_4</t>
  </si>
  <si>
    <r>
      <rPr>
        <sz val="10"/>
        <rFont val="Noto Sans CJK SC"/>
        <family val="2"/>
      </rPr>
      <t xml:space="preserve">다가오는 해는 좋은 사람들이 저절로 곁에 모이기를 기다리기엔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공동체나 일터에서 내가 지켜야 할 약속과 역할이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내게 힘이 되어 준 사람에게 고마움을 구체적으로 전하는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다져진 신뢰는 다음 해 더 넓은 관계로 나아갈 디딤돌이 됩니다</t>
    </r>
    <r>
      <rPr>
        <sz val="10"/>
        <rFont val="맑은 고딕"/>
        <family val="0"/>
        <charset val="1"/>
      </rPr>
      <t xml:space="preserve">.</t>
    </r>
  </si>
  <si>
    <t xml:space="preserve">WISH_05_HEAD_5</t>
  </si>
  <si>
    <r>
      <rPr>
        <sz val="10"/>
        <rFont val="Noto Sans CJK SC"/>
        <family val="2"/>
      </rPr>
      <t xml:space="preserve">좋은 사람들과의 연결에서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관계를 이어 가는 데 드는 시간과 마음이 평소보다 많이 필요할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똑같이 챙기려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마음을 기울일 세 사람을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공들인 몇 개의 관계가 이후 어떤 시기에도 기댈 수 있는 울타리가 되어 줍니다</t>
    </r>
    <r>
      <rPr>
        <sz val="10"/>
        <rFont val="맑은 고딕"/>
        <family val="0"/>
        <charset val="1"/>
      </rPr>
      <t xml:space="preserve">.</t>
    </r>
  </si>
  <si>
    <t xml:space="preserve">WISH_05_OPEN_2</t>
  </si>
  <si>
    <r>
      <rPr>
        <sz val="10"/>
        <rFont val="Noto Sans CJK SC"/>
        <family val="2"/>
      </rPr>
      <t xml:space="preserve">좋은 사람들과의 연결은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 맞는 이들과 함께하는 자리가 자연스럽게 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나와 결이 맞는 사람은 어떤 사람인지 몇 가지로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나에게 맞는 자리를 고르기 한결 수월해요</t>
    </r>
    <r>
      <rPr>
        <sz val="10"/>
        <rFont val="맑은 고딕"/>
        <family val="0"/>
        <charset val="1"/>
      </rPr>
      <t xml:space="preserve">.</t>
    </r>
  </si>
  <si>
    <t xml:space="preserve">WISH_05_OPEN_3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</si>
  <si>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함께하는 일에서 든든한 동료와 친구를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모임이나 배움의 자리에 발을 들여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곁의 사람들에게 받은 도움을 하나씩 갚아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좋은 관계가 이어지는 흐름이 더 넓어질 수 있어요</t>
    </r>
    <r>
      <rPr>
        <sz val="10"/>
        <rFont val="맑은 고딕"/>
        <family val="0"/>
        <charset val="1"/>
      </rPr>
      <t xml:space="preserve">.</t>
    </r>
  </si>
  <si>
    <t xml:space="preserve">WISH_05_OPEN_4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</si>
  <si>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좋은 사람들과 마음을 나누는 일이 한결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생각만 해 온 모임을 직접 열어 보거나 함께할 일을 제안해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가까운 사람의 좋은 소식에 먼저 축하를 건네는 습관을 들여 두세요</t>
    </r>
    <r>
      <rPr>
        <sz val="10"/>
        <rFont val="맑은 고딕"/>
        <family val="0"/>
        <charset val="1"/>
      </rPr>
      <t xml:space="preserve">.</t>
    </r>
  </si>
  <si>
    <t xml:space="preserve">WISH_05_OPEN_5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</si>
  <si>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사람 사이에 따뜻한 바람이 가장 크게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서로 돕고 기대는 관계가 자라기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편안하게 하는 사람과 지치게 하는 자리를 구분해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좋은 사람들 곁에 더 오래 머물 수 있습니다</t>
    </r>
    <r>
      <rPr>
        <sz val="10"/>
        <rFont val="맑은 고딕"/>
        <family val="0"/>
        <charset val="1"/>
      </rPr>
      <t xml:space="preserve">.</t>
    </r>
  </si>
  <si>
    <t xml:space="preserve">WISH_05_OPENFB_2</t>
  </si>
  <si>
    <r>
      <rPr>
        <sz val="10"/>
        <rFont val="Noto Sans CJK SC"/>
        <family val="2"/>
      </rPr>
      <t xml:space="preserve">다섯 해 안에 좋은 사람들과의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들이는 정성이 관계를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사람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좋아하는 활동 하나를 꾸준히 이어 가며 자연스럽게 얼굴을 익혀 두면 좋습니다</t>
    </r>
    <r>
      <rPr>
        <sz val="10"/>
        <rFont val="맑은 고딕"/>
        <family val="0"/>
        <charset val="1"/>
      </rPr>
      <t xml:space="preserve">.</t>
    </r>
  </si>
  <si>
    <t xml:space="preserve">WISH_05_OPENFB_3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</si>
  <si>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만나기보다 지금 곁의 몇 사람과 깊게 지내는 쪽이 관계의 뿌리를 단단하게 해 줘요</t>
    </r>
    <r>
      <rPr>
        <sz val="10"/>
        <rFont val="맑은 고딕"/>
        <family val="0"/>
        <charset val="1"/>
      </rPr>
      <t xml:space="preserve">.</t>
    </r>
  </si>
  <si>
    <t xml:space="preserve">WISH_05_OPENFB_4</t>
  </si>
  <si>
    <r>
      <rPr>
        <sz val="10"/>
        <rFont val="Noto Sans CJK SC"/>
        <family val="2"/>
      </rPr>
      <t xml:space="preserve">이어질 다섯 해는 하늘이 관계를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손을 내미는 만큼 사람이 곁에 남는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번은 내가 먼저 모임을 제안해 보세요</t>
    </r>
    <r>
      <rPr>
        <sz val="10"/>
        <rFont val="맑은 고딕"/>
        <family val="0"/>
        <charset val="1"/>
      </rPr>
      <t xml:space="preserve">.</t>
    </r>
  </si>
  <si>
    <t xml:space="preserve">WISH_05_OPENFB_5</t>
  </si>
  <si>
    <r>
      <rPr>
        <sz val="10"/>
        <rFont val="Noto Sans CJK SC"/>
        <family val="2"/>
      </rPr>
      <t xml:space="preserve">다섯 해를 내다봐도 사람과의 인연에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배려를 꾸준히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배려가 좋은 사람들과의 연결로 돌아오기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도움을 청하는 연습도 함께 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</si>
  <si>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WISH_06_FAV_2</t>
  </si>
  <si>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빡빡했던 일정에 숨 쉴 틈이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일을 누릴 마음도 넉넉해지기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계획 없이 발길 닿는 대로 동네를 걸어 보는 날로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시간을 아까워하며 다시 채우기보다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빈칸 자체를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</si>
  <si>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WISH_06_FAV_3</t>
  </si>
  <si>
    <r>
      <rPr>
        <sz val="10"/>
        <rFont val="Noto Sans CJK SC"/>
        <family val="2"/>
      </rPr>
      <t xml:space="preserve">늘 쫓기듯 지냈다면 다가오는 해가 반가울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이 해에는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늦춰도 일상이 크게 흐트러지지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십 분 일찍 일어나 창가에서 느긋하게 하루를 여는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짧은 여유가 하루 전체의 속도를 바꿔 줄 수 있습니다</t>
    </r>
    <r>
      <rPr>
        <sz val="10"/>
        <rFont val="맑은 고딕"/>
        <family val="0"/>
        <charset val="1"/>
      </rPr>
      <t xml:space="preserve">.</t>
    </r>
  </si>
  <si>
    <t xml:space="preserve">WISH_06_FAV_4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</si>
  <si>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해야 할 일과 하고 싶은 일 사이에 균형이 잡히고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 드는 미안함이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공원이나 전시처럼 반나절이면 다녀올 곳 목록을 만들어 하나씩 지워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생겼다고 남의 부탁을 모두 떠안지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거절하는 말 한마디를 미리 준비해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</si>
  <si>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WISH_06_FAV_5</t>
  </si>
  <si>
    <r>
      <rPr>
        <sz val="10"/>
        <rFont val="Noto Sans CJK SC"/>
        <family val="2"/>
      </rPr>
      <t xml:space="preserve">다가오는 해는 마음에 넉넉한 빈자리가 생기기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속도를 줄여도 괜찮다는 느낌이 자연스럽게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뒤 한 시간은 일과 관련된 연락을 내려놓는 나만의 규칙을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시간이 쌓이면 여유가 습관처럼 몸에 배어 갈 수 있습니다</t>
    </r>
    <r>
      <rPr>
        <sz val="10"/>
        <rFont val="맑은 고딕"/>
        <family val="0"/>
        <charset val="1"/>
      </rPr>
      <t xml:space="preserve">.</t>
    </r>
  </si>
  <si>
    <t xml:space="preserve">WISH_06_NEU_2</t>
  </si>
  <si>
    <r>
      <rPr>
        <sz val="10"/>
        <rFont val="Noto Sans CJK SC"/>
        <family val="2"/>
      </rPr>
      <t xml:space="preserve">다가오는 해는 여유가 저절로 생기기보다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어디에 쓰느냐가 마음의 넉넉함을 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일정표에 ‘아무것도 안 하는 칸’을 하나 그려 넣고 그 칸을 지켜 보세요</t>
    </r>
    <r>
      <rPr>
        <sz val="10"/>
        <rFont val="맑은 고딕"/>
        <family val="0"/>
        <charset val="1"/>
      </rPr>
      <t xml:space="preserve">.</t>
    </r>
  </si>
  <si>
    <t xml:space="preserve">WISH_06_NEU_3</t>
  </si>
  <si>
    <r>
      <rPr>
        <sz val="10"/>
        <rFont val="Noto Sans CJK SC"/>
        <family val="2"/>
      </rPr>
      <t xml:space="preserve">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비우는 연습이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거절과 우선순위를 얼마나 잘 정하느냐가 여유의 크기를 바꿔요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약속을 잡기 전에 하루만 생각해 보고 답하는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</si>
  <si>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WISH_06_NEU_4</t>
  </si>
  <si>
    <r>
      <rPr>
        <sz val="10"/>
        <rFont val="Noto Sans CJK SC"/>
        <family val="2"/>
      </rPr>
      <t xml:space="preserve">여유의 크기는 다가오는 해에 내 선택을 따라 늘었다 줄었다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라서 그렇습니다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하루 오전만큼은 집안일도 약속도 넣지 않고 느긋하게 보내 보세요</t>
    </r>
    <r>
      <rPr>
        <sz val="10"/>
        <rFont val="맑은 고딕"/>
        <family val="0"/>
        <charset val="1"/>
      </rPr>
      <t xml:space="preserve">.</t>
    </r>
  </si>
  <si>
    <t xml:space="preserve">WISH_06_NEU_5</t>
  </si>
  <si>
    <r>
      <rPr>
        <sz val="10"/>
        <rFont val="Noto Sans CJK SC"/>
        <family val="2"/>
      </rPr>
      <t xml:space="preserve">다가오는 해의 여유는 하늘이 건네주기보다 내가 빚어 가는 쪽에 가까워요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기다리는 시간에 휴대폰 대신 창밖을 바라보는 짧은 쉼을 만들어 보세요</t>
    </r>
    <r>
      <rPr>
        <sz val="10"/>
        <rFont val="맑은 고딕"/>
        <family val="0"/>
        <charset val="1"/>
      </rPr>
      <t xml:space="preserve">.</t>
    </r>
  </si>
  <si>
    <t xml:space="preserve">WISH_06_HEAD_2</t>
  </si>
  <si>
    <r>
      <rPr>
        <sz val="10"/>
        <rFont val="Noto Sans CJK SC"/>
        <family val="2"/>
      </rPr>
      <t xml:space="preserve">다가오는 해는 여유를 누리기보다 해야 할 일을 감당하는 쪽에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책임이 겹치고 일이 계획보다 더디게 끝나 시간이 늘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잠들기 전 오 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잘 버틴 나에게 고맙다고 말해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익힌 ‘덜어 내는 감각’은 다음 해의 여유를 지켜 주는 울타리로 남습니다</t>
    </r>
    <r>
      <rPr>
        <sz val="10"/>
        <rFont val="맑은 고딕"/>
        <family val="0"/>
        <charset val="1"/>
      </rPr>
      <t xml:space="preserve">.</t>
    </r>
  </si>
  <si>
    <t xml:space="preserve">WISH_06_HEAD_3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</si>
  <si>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자꾸 뒤로 밀리기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몫이 무겁게 느껴지고 쉬는 날에도 할 일이 머릿속을 맴돌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일을 꼭 해야 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해도 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남에게 맡길 것으로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길러 둔 우선순위의 감각은 앞으로 여유를 스스로 만들어 내는 힘이 되어 줍니다</t>
    </r>
    <r>
      <rPr>
        <sz val="10"/>
        <rFont val="맑은 고딕"/>
        <family val="0"/>
        <charset val="1"/>
      </rPr>
      <t xml:space="preserve">.</t>
    </r>
  </si>
  <si>
    <t xml:space="preserve">WISH_06_HEAD_4</t>
  </si>
  <si>
    <r>
      <rPr>
        <sz val="10"/>
        <rFont val="Noto Sans CJK SC"/>
        <family val="2"/>
      </rPr>
      <t xml:space="preserve">여유를 바라는 마음에 비해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시간이 빠듯하게 흘러가는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조건과 마감이 차례로 이어지며 마음이 쫓기기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기쁘게 하는 작은 일을 일정처럼 적어 두고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속에서도 지켜 낸 즐거움은 여유를 되찾는 길을 기억하게 해 주는 이정표로 남습니다</t>
    </r>
    <r>
      <rPr>
        <sz val="10"/>
        <rFont val="맑은 고딕"/>
        <family val="0"/>
        <charset val="1"/>
      </rPr>
      <t xml:space="preserve">.</t>
    </r>
  </si>
  <si>
    <t xml:space="preserve">WISH_06_HEAD_5</t>
  </si>
  <si>
    <r>
      <rPr>
        <sz val="10"/>
        <rFont val="Noto Sans CJK SC"/>
        <family val="2"/>
      </rPr>
      <t xml:space="preserve">솔직히 말해 다가오는 해는 여유를 넉넉히 누리기 어려운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책임이 한꺼번에 몰리고 일이 더디게 풀려 쉼이 사치처럼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아침이나 밤 중 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십 분이라도 혼자 조용히 앉아 있는 시간을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고요한 시간이 무거운 해를 지나는 동안 내 마음의 쉼터가 되어 줍니다</t>
    </r>
    <r>
      <rPr>
        <sz val="10"/>
        <rFont val="맑은 고딕"/>
        <family val="0"/>
        <charset val="1"/>
      </rPr>
      <t xml:space="preserve">.</t>
    </r>
  </si>
  <si>
    <t xml:space="preserve">WISH_06_OPEN_2</t>
  </si>
  <si>
    <r>
      <rPr>
        <sz val="10"/>
        <rFont val="Noto Sans CJK SC"/>
        <family val="2"/>
      </rPr>
      <t xml:space="preserve">바라던 여유는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일과 쉼의 균형을 다시 맞추기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 한 가지씩 ‘안 해도 되는 일’을 찾아 덜어 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여유를 온전히 누릴 자리가 넓어져요</t>
    </r>
    <r>
      <rPr>
        <sz val="10"/>
        <rFont val="맑은 고딕"/>
        <family val="0"/>
        <charset val="1"/>
      </rPr>
      <t xml:space="preserve">.</t>
    </r>
  </si>
  <si>
    <t xml:space="preserve">WISH_06_OPEN_3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</si>
  <si>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마음의 속도를 늦추고 즐거움을 누리기가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여행이나 배우고 싶던 취미를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조금씩 나를 위한 시간과 비용을 따로 떼어 두면 그해를 더 가볍게 즐길 수 있어요</t>
    </r>
    <r>
      <rPr>
        <sz val="10"/>
        <rFont val="맑은 고딕"/>
        <family val="0"/>
        <charset val="1"/>
      </rPr>
      <t xml:space="preserve">.</t>
    </r>
  </si>
  <si>
    <t xml:space="preserve">WISH_06_OPEN_4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</si>
  <si>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빡빡하던 하루에 숨 쉴 틈이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서두르지 않는 하루를 일부러 계획해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쉬는 날 무엇을 할 때 가장 마음이 풀리는지 적어 두면 그해의 여유를 더 알차게 쓸 수 있어요</t>
    </r>
    <r>
      <rPr>
        <sz val="10"/>
        <rFont val="맑은 고딕"/>
        <family val="0"/>
        <charset val="1"/>
      </rPr>
      <t xml:space="preserve">.</t>
    </r>
  </si>
  <si>
    <t xml:space="preserve">WISH_06_OPEN_5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</si>
  <si>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여유에 가장 순한 바람이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해야 할 일을 줄이고 하고 싶은 일을 늘리기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일정표의 빈칸을 지키는 연습을 해 두면 열린 흐름을 더 오래 붙잡을 수 있습니다</t>
    </r>
    <r>
      <rPr>
        <sz val="10"/>
        <rFont val="맑은 고딕"/>
        <family val="0"/>
        <charset val="1"/>
      </rPr>
      <t xml:space="preserve">.</t>
    </r>
  </si>
  <si>
    <t xml:space="preserve">WISH_06_OPENFB_2</t>
  </si>
  <si>
    <r>
      <rPr>
        <sz val="10"/>
        <rFont val="Noto Sans CJK SC"/>
        <family val="2"/>
      </rPr>
      <t xml:space="preserve">다섯 해 안에 여유가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도움보다 내 일정표가 여유의 크기를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넉넉해지니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아무 약속 없는 저녁을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</si>
  <si>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WISH_06_OPENFB_3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</si>
  <si>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쉼을 기다리기보다 하루 중 짧은 틈을 즐기는 습관이 여유를 키워 줘요</t>
    </r>
    <r>
      <rPr>
        <sz val="10"/>
        <rFont val="맑은 고딕"/>
        <family val="0"/>
        <charset val="1"/>
      </rPr>
      <t xml:space="preserve">.</t>
    </r>
  </si>
  <si>
    <t xml:space="preserve">WISH_06_OPENFB_4</t>
  </si>
  <si>
    <r>
      <rPr>
        <sz val="10"/>
        <rFont val="Noto Sans CJK SC"/>
        <family val="2"/>
      </rPr>
      <t xml:space="preserve">이어질 다섯 해는 순풍을 기다리기보다 거절하고 덜어 내는 연습으로 여유를 만들어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나를 위한 반나절을 비워 두세요</t>
    </r>
    <r>
      <rPr>
        <sz val="10"/>
        <rFont val="맑은 고딕"/>
        <family val="0"/>
        <charset val="1"/>
      </rPr>
      <t xml:space="preserve">.</t>
    </r>
  </si>
  <si>
    <t xml:space="preserve">WISH_06_OPENFB_5</t>
  </si>
  <si>
    <r>
      <rPr>
        <sz val="10"/>
        <rFont val="Noto Sans CJK SC"/>
        <family val="2"/>
      </rPr>
      <t xml:space="preserve">다섯 해를 내다봐도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틈이 조금 더 넓어지기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음악이나 차 한 잔처럼 짧게 누릴 즐거움 목록을 미리 만들어 두면 좋습니다</t>
    </r>
    <r>
      <rPr>
        <sz val="10"/>
        <rFont val="맑은 고딕"/>
        <family val="0"/>
        <charset val="1"/>
      </rPr>
      <t xml:space="preserve">.</t>
    </r>
  </si>
  <si>
    <t xml:space="preserve">WISH_07_FAV_2</t>
  </si>
  <si>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생활 습관을 들이고 이어 가는 일이 한결 수월해지기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출근 전이나 저녁 식사 뒤처럼 매일 같은 때에 가볍게 몸을 푸는 시간을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의욕이 넘칠수록 처음 계획을 작게 잡는 편이 오래 이어 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</si>
  <si>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</si>
  <si>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</si>
  <si>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 리듬을 새로 짜기에 알맞은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두던 습관도 막상 시작하면 생각보다 가볍게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 볼 때 제철 채소 한 가지를 장바구니에 담는 것처럼 식탁의 작은 습관부터 바꿔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가지가 익숙해진 뒤에 다음 습관을 더해 가면 충분합니다</t>
    </r>
    <r>
      <rPr>
        <sz val="10"/>
        <rFont val="맑은 고딕"/>
        <family val="0"/>
        <charset val="1"/>
      </rPr>
      <t xml:space="preserve">.</t>
    </r>
  </si>
  <si>
    <t xml:space="preserve">WISH_07_FAV_4</t>
  </si>
  <si>
    <r>
      <rPr>
        <sz val="10"/>
        <rFont val="Noto Sans CJK SC"/>
        <family val="2"/>
      </rPr>
      <t xml:space="preserve">건강한 생활을 꿈꾸는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하루의 리듬을 정돈하고 나를 돌보는 습관을 들이기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엘리베이터 대신 계단을 이용하거나 한 정거장 먼저 내려 걷는 것처럼 일상 속 움직임을 하나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컨디션이 좋은 날에도 쉬는 날을 일정에 함께 넣어 두는 것이 습관을 오래 이어 가는 길입니다</t>
    </r>
    <r>
      <rPr>
        <sz val="10"/>
        <rFont val="맑은 고딕"/>
        <family val="0"/>
        <charset val="1"/>
      </rPr>
      <t xml:space="preserve">.</t>
    </r>
  </si>
  <si>
    <t xml:space="preserve">WISH_07_FAV_5</t>
  </si>
  <si>
    <r>
      <rPr>
        <sz val="10"/>
        <rFont val="Noto Sans CJK SC"/>
        <family val="2"/>
      </rPr>
      <t xml:space="preserve">몸과 마음의 리듬을 다시 세우고 싶다면 다가오는 해를 눈여겨볼 만합니다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 정한 루틴이 큰 힘을 들이지 않아도 자리를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사흘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잠들기 전 가벼운 스트레칭으로 하루를 닫는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</si>
  <si>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WISH_07_NEU_2</t>
  </si>
  <si>
    <r>
      <rPr>
        <sz val="10"/>
        <rFont val="Noto Sans CJK SC"/>
        <family val="2"/>
      </rPr>
      <t xml:space="preserve">다가오는 해는 건강한 생활이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먹고 언제 자느냐 같은 작은 선택이 생활의 결을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냉장고 앞에 이번 주 지킬 습관 하나를 적어 붙여 두는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</si>
  <si>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</si>
  <si>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WISH_07_NEU_3</t>
  </si>
  <si>
    <r>
      <rPr>
        <sz val="10"/>
        <rFont val="Noto Sans CJK SC"/>
        <family val="2"/>
      </rPr>
      <t xml:space="preserve">건강한 생활을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내가 고른 습관이 그대로 쌓이는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꾸준함이 무엇보다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 뒤 십 분 걷기처럼 일정에 끼워 넣기 쉬운 움직임 하나를 정해 보세요</t>
    </r>
    <r>
      <rPr>
        <sz val="10"/>
        <rFont val="맑은 고딕"/>
        <family val="0"/>
        <charset val="1"/>
      </rPr>
      <t xml:space="preserve">.</t>
    </r>
  </si>
  <si>
    <t xml:space="preserve">WISH_07_NEU_4</t>
  </si>
  <si>
    <r>
      <rPr>
        <sz val="10"/>
        <rFont val="Noto Sans CJK SC"/>
        <family val="2"/>
      </rPr>
      <t xml:space="preserve">건강한 생활은 다가오는 해에 의지보다 환경에서 자라나기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 작은 장치가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운동화를 현관 가까이 두거나 잠자리 옆에서 휴대폰 충전기를 치우는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습관을 돕는 환경 하나를 바꿔 보세요</t>
    </r>
    <r>
      <rPr>
        <sz val="10"/>
        <rFont val="맑은 고딕"/>
        <family val="0"/>
        <charset val="1"/>
      </rPr>
      <t xml:space="preserve">.</t>
    </r>
  </si>
  <si>
    <t xml:space="preserve">WISH_07_NEU_5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</si>
  <si>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보이는 다가오는 해에는 건강한 생활도 하루하루의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컨디션이 좋은 날보다 바쁜 날 무엇을 지키느냐가 더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날에도 지킬 ‘최소 습관’ 하나를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그것만 지켜도 잘했다고 스스로 인정해 주세요</t>
    </r>
    <r>
      <rPr>
        <sz val="10"/>
        <rFont val="맑은 고딕"/>
        <family val="0"/>
        <charset val="1"/>
      </rPr>
      <t xml:space="preserve">.</t>
    </r>
  </si>
  <si>
    <t xml:space="preserve">WISH_07_HEAD_2</t>
  </si>
  <si>
    <r>
      <rPr>
        <sz val="10"/>
        <rFont val="Noto Sans CJK SC"/>
        <family val="2"/>
      </rPr>
      <t xml:space="preserve">건강한 생활을 바라지만 다가오는 해는 루틴을 지키는 데 품이 많이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일과 책임이 겹치면서 잠과 식사 시간이 뒤로 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식사나 저녁 산책 중 하나만 골라 이 해의 기본기로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기본기는 이후 생활 리듬을 다시 세울 때 든든한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</si>
  <si>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</si>
  <si>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</si>
  <si>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생활을 꾸리는 일이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루틴이 생각보다 더디게 몸에 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의지만으로는 버티기 어려운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습관을 지킨 날마다 달력에 작은 표시를 남겨 이어지는 흐름을 눈으로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더디게 쌓은 그 표시들은 쉽게 무너지지 않는 생활의 뼈대가 되어 줘요</t>
    </r>
    <r>
      <rPr>
        <sz val="10"/>
        <rFont val="맑은 고딕"/>
        <family val="0"/>
        <charset val="1"/>
      </rPr>
      <t xml:space="preserve">.</t>
    </r>
  </si>
  <si>
    <t xml:space="preserve">WISH_07_HEAD_4</t>
  </si>
  <si>
    <r>
      <rPr>
        <sz val="10"/>
        <rFont val="Noto Sans CJK SC"/>
        <family val="2"/>
      </rPr>
      <t xml:space="preserve">다가오는 해는 건강한 생활을 새로 들이기보다 지키는 쪽에 힘을 써야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일이 무거워져 몸을 돌볼 시간이 빠듯해지기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운동 시간을 따로 내기보다 이동이나 집안일 속에 움직임을 끼워 넣는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책임 속에서도 이어 간 작은 움직임은 다음 해 더 큰 루틴을 받쳐 줄 바닥이 되어 줄 수 있어요</t>
    </r>
    <r>
      <rPr>
        <sz val="10"/>
        <rFont val="맑은 고딕"/>
        <family val="0"/>
        <charset val="1"/>
      </rPr>
      <t xml:space="preserve">.</t>
    </r>
  </si>
  <si>
    <t xml:space="preserve">WISH_07_HEAD_5</t>
  </si>
  <si>
    <r>
      <rPr>
        <sz val="10"/>
        <rFont val="Noto Sans CJK SC"/>
        <family val="2"/>
      </rPr>
      <t xml:space="preserve">생활 리듬에서 보면 다가오는 해는 건강한 생활이 뜻대로 굴러가지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일정의 무게가 쌓여 피로가 쉽게 풀리지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늦잠 대신 평소와 비슷한 시간에 일어나 리듬을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지킨 리듬은 바쁜 해를 지나며 나를 받쳐 주는 생활의 기둥으로 남습니다</t>
    </r>
    <r>
      <rPr>
        <sz val="10"/>
        <rFont val="맑은 고딕"/>
        <family val="0"/>
        <charset val="1"/>
      </rPr>
      <t xml:space="preserve">.</t>
    </r>
  </si>
  <si>
    <t xml:space="preserve">WISH_07_OPEN_2</t>
  </si>
  <si>
    <r>
      <rPr>
        <sz val="10"/>
        <rFont val="Noto Sans CJK SC"/>
        <family val="2"/>
      </rPr>
      <t xml:space="preserve">바라던 건강한 생활의 리듬은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자리 잡기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새로운 루틴을 들이고 이어 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지금 하루에서 가장 흐트러지기 쉬운 시간대를 찾아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습관부터 들일지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</si>
  <si>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</si>
  <si>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</si>
  <si>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몸과 마음의 리듬을 다시 맞추기가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미뤄 둔 운동이나 식사 습관을 새로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가볍게 걷는 습관을 일주일에 몇 번이라도 이어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새 루틴이 더 쉽게 몸에 붙을 수 있어요</t>
    </r>
    <r>
      <rPr>
        <sz val="10"/>
        <rFont val="맑은 고딕"/>
        <family val="0"/>
        <charset val="1"/>
      </rPr>
      <t xml:space="preserve">.</t>
    </r>
  </si>
  <si>
    <t xml:space="preserve">WISH_07_OPEN_4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</si>
  <si>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건강한 생활을 위한 습관이 오래 머물기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루틴을 한 단계 넓혀 새로운 활동을 더해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시간과 일어나는 시간을 조금씩 일정하게 맞춰 두세요</t>
    </r>
    <r>
      <rPr>
        <sz val="10"/>
        <rFont val="맑은 고딕"/>
        <family val="0"/>
        <charset val="1"/>
      </rPr>
      <t xml:space="preserve">.</t>
    </r>
  </si>
  <si>
    <t xml:space="preserve">WISH_07_OPEN_5</t>
  </si>
  <si>
    <r>
      <rPr>
        <sz val="10"/>
        <rFont val="Noto Sans CJK SC"/>
        <family val="2"/>
      </rPr>
      <t xml:space="preserve">건강한 생활을 위한 문은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 리듬 전체를 한 번 정돈해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하루를 기운 나게 하는 습관과 지치게 하는 습관을 나눠 적어 두면 그해의 정돈이 한결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</si>
  <si>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WISH_07_OPENFB_2</t>
  </si>
  <si>
    <r>
      <rPr>
        <sz val="10"/>
        <rFont val="Noto Sans CJK SC"/>
        <family val="2"/>
      </rPr>
      <t xml:space="preserve">다섯 해 안에 건강한 생활이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이어 가는 루틴이 생활을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 한 번 가볍게 몸을 푸는 시간을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</si>
  <si>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</si>
  <si>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</si>
  <si>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물 마시기나 짧은 걷기처럼 부담 없는 습관 하나가 생활의 바탕을 만들어 줘요</t>
    </r>
    <r>
      <rPr>
        <sz val="10"/>
        <rFont val="맑은 고딕"/>
        <family val="0"/>
        <charset val="1"/>
      </rPr>
      <t xml:space="preserve">.</t>
    </r>
  </si>
  <si>
    <t xml:space="preserve">WISH_07_OPENFB_4</t>
  </si>
  <si>
    <r>
      <rPr>
        <sz val="10"/>
        <rFont val="Noto Sans CJK SC"/>
        <family val="2"/>
      </rPr>
      <t xml:space="preserve">이어질 다섯 해는 큰 흐름에 기대기보다 작은 습관을 꾸준히 이어 붙이는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하나씩 새 습관을 더해 가 보세요</t>
    </r>
    <r>
      <rPr>
        <sz val="10"/>
        <rFont val="맑은 고딕"/>
        <family val="0"/>
        <charset val="1"/>
      </rPr>
      <t xml:space="preserve">.</t>
    </r>
  </si>
  <si>
    <t xml:space="preserve">WISH_07_OPENFB_5</t>
  </si>
  <si>
    <r>
      <rPr>
        <sz val="10"/>
        <rFont val="Noto Sans CJK SC"/>
        <family val="2"/>
      </rPr>
      <t xml:space="preserve">다섯 해를 내다봐도 건강한 생활에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리듬을 지키는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리듬이 한결 수월하게 자리 잡기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잠과 식사 시간을 기록하는 습관을 지금부터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</si>
  <si>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WISH_08_FAV_2</t>
  </si>
  <si>
    <r>
      <rPr>
        <sz val="10"/>
        <rFont val="Noto Sans CJK SC"/>
        <family val="2"/>
      </rPr>
      <t xml:space="preserve">다가오는 해는 경제적 여유를 위한 생활의 바탕을 넓히기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돈을 쓰고 모으는 기준을 정비하는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자동이체 목록을 한 번 훑어보고 쓰지 않는 구독 하나를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지출 리듬이 이 해의 넉넉함을 지켜 주는 틀이 되어 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</si>
  <si>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</si>
  <si>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</si>
  <si>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돈에 대한 막연한 불안 대신 내 생활에 맞는 기준이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수입이 들어오는 날에 모아 둘 몫을 먼저 떼어 두는 ‘먼저 모으기’ 습관을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기준이 서는 만큼 나를 위한 작은 즐거움에도 몫을 남겨 두는 편이 오래갑니다</t>
    </r>
    <r>
      <rPr>
        <sz val="10"/>
        <rFont val="맑은 고딕"/>
        <family val="0"/>
        <charset val="1"/>
      </rPr>
      <t xml:space="preserve">.</t>
    </r>
  </si>
  <si>
    <t xml:space="preserve">WISH_08_FAV_4</t>
  </si>
  <si>
    <r>
      <rPr>
        <sz val="10"/>
        <rFont val="Noto Sans CJK SC"/>
        <family val="2"/>
      </rPr>
      <t xml:space="preserve">경제적 여유를 꿈꾼다면 다가오는 해는 생활의 기반을 다듬기 좋은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지출과 저축의 리듬을 내 생활에 맞게 조율하기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 동안 쓴 돈을 영수증이나 앱으로 모아 주말에 오 분만 돌아보는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좋을수록 큰 결정은 바로 내리기보다 한 번 더 기준에 비춰 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</si>
  <si>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WISH_08_FAV_5</t>
  </si>
  <si>
    <r>
      <rPr>
        <sz val="10"/>
        <rFont val="Noto Sans CJK SC"/>
        <family val="2"/>
      </rPr>
      <t xml:space="preserve">경제적 여유라는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생활의 기준을 세우기에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돈을 대하는 태도가 한결 차분해지고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것과 원하는 것을 구분하기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‘돈을 쓰고 가장 좋았던 일’과 ‘아쉬웠던 일’을 하나씩 적어 보세요</t>
    </r>
    <r>
      <rPr>
        <sz val="10"/>
        <rFont val="맑은 고딕"/>
        <family val="0"/>
        <charset val="1"/>
      </rPr>
      <t xml:space="preserve">.</t>
    </r>
  </si>
  <si>
    <t xml:space="preserve">WISH_08_NEU_2</t>
  </si>
  <si>
    <r>
      <rPr>
        <sz val="10"/>
        <rFont val="Noto Sans CJK SC"/>
        <family val="2"/>
      </rPr>
      <t xml:space="preserve">다가오는 해는 경제적 여유를 위한 기반이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 반복되는 지출 습관이 생활의 넉넉함을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장보기 전에 살 것을 미리 적고 그 목록 안에서만 고르는 연습부터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</si>
  <si>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</si>
  <si>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WISH_08_NEU_3</t>
  </si>
  <si>
    <r>
      <rPr>
        <sz val="10"/>
        <rFont val="Noto Sans CJK SC"/>
        <family val="2"/>
      </rPr>
      <t xml:space="preserve">경제적 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돈의 흐름을 얼마나 들여다보느냐가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막연한 걱정보다 구체적인 기준 하나가 더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날을 정해 고정 지출과 남은 몫을 한 장에 적어 보세요</t>
    </r>
    <r>
      <rPr>
        <sz val="10"/>
        <rFont val="맑은 고딕"/>
        <family val="0"/>
        <charset val="1"/>
      </rPr>
      <t xml:space="preserve">.</t>
    </r>
  </si>
  <si>
    <t xml:space="preserve">WISH_08_NEU_4</t>
  </si>
  <si>
    <r>
      <rPr>
        <sz val="10"/>
        <rFont val="Noto Sans CJK SC"/>
        <family val="2"/>
      </rPr>
      <t xml:space="preserve">다가오는 해에 경제적 여유를 향한 걸음은 내가 정한 기준을 따라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지출 습관이 쌓여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배달이나 충동구매처럼 자주 새는 지출 하나를 골라 한 달 동안 횟수를 줄여 보세요</t>
    </r>
    <r>
      <rPr>
        <sz val="10"/>
        <rFont val="맑은 고딕"/>
        <family val="0"/>
        <charset val="1"/>
      </rPr>
      <t xml:space="preserve">.</t>
    </r>
  </si>
  <si>
    <t xml:space="preserve">WISH_08_NEU_5</t>
  </si>
  <si>
    <r>
      <rPr>
        <sz val="10"/>
        <rFont val="Noto Sans CJK SC"/>
        <family val="2"/>
      </rPr>
      <t xml:space="preserve">돈 앞에서 넉넉한 마음을 갖고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바탕을 내가 직접 다지는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기준을 지킨 달과 놓친 달의 차이가 쌓여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일에 쓸 몫을 작게라도 따로 떼어 두는 통장이나 봉투를 하나 마련해 보세요</t>
    </r>
    <r>
      <rPr>
        <sz val="10"/>
        <rFont val="맑은 고딕"/>
        <family val="0"/>
        <charset val="1"/>
      </rPr>
      <t xml:space="preserve">.</t>
    </r>
  </si>
  <si>
    <t xml:space="preserve">WISH_08_HEAD_2</t>
  </si>
  <si>
    <r>
      <rPr>
        <sz val="10"/>
        <rFont val="Noto Sans CJK SC"/>
        <family val="2"/>
      </rPr>
      <t xml:space="preserve">다가오는 해는 경제적 여유를 느끼기보다 생활의 책임을 감당하는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고정 지출이나 맡아야 할 몫이 무겁게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번에 모든 지출을 줄이려 하기보다 한 달에 하나씩 항목을 점검해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하나씩 세운 지출의 기준은 이후 생활을 지켜 주는 든든한 뼈대가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</si>
  <si>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</si>
  <si>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</si>
  <si>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돈 앞에서 조건과 책임을 먼저 따져야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여유의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모이지 않는 것 같아 답답한 달이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스스로를 탓하기보다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이번 달 지킨 기준 하나를 찾아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기준들은 이후 경제적 여유를 받쳐 줄 생활의 바닥이 됩니다</t>
    </r>
    <r>
      <rPr>
        <sz val="10"/>
        <rFont val="맑은 고딕"/>
        <family val="0"/>
        <charset val="1"/>
      </rPr>
      <t xml:space="preserve">.</t>
    </r>
  </si>
  <si>
    <t xml:space="preserve">WISH_08_HEAD_4</t>
  </si>
  <si>
    <r>
      <rPr>
        <sz val="10"/>
        <rFont val="Noto Sans CJK SC"/>
        <family val="2"/>
      </rPr>
      <t xml:space="preserve">넉넉함보다 꼼꼼함이 필요한 다가오는 해는 경제적 여유를 향한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생활을 꾸리는 데 드는 무게가 커지고 계획한 일이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달에 나갈 큰 지출을 미리 달력에 적어 두면 갑작스러운 부담을 한결 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미리 내다보는 습관이 이 해를 지나며 생활을 단단하게 받치는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</si>
  <si>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WISH_08_HEAD_5</t>
  </si>
  <si>
    <r>
      <rPr>
        <sz val="10"/>
        <rFont val="Noto Sans CJK SC"/>
        <family val="2"/>
      </rPr>
      <t xml:space="preserve">경제적 여유에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둘러싼 책임이 시험처럼 다가오고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만큼 여유를 두기 어렵다고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‘꼭 필요했던 지출’에만 동그라미를 쳐 보며 내 생활의 최소 기준을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알게 된 최소 기준은 앞으로 어떤 해에도 생활을 지탱하는 바탕이 됩니다</t>
    </r>
    <r>
      <rPr>
        <sz val="10"/>
        <rFont val="맑은 고딕"/>
        <family val="0"/>
        <charset val="1"/>
      </rPr>
      <t xml:space="preserve">.</t>
    </r>
  </si>
  <si>
    <t xml:space="preserve">WISH_08_OPEN_2</t>
  </si>
  <si>
    <r>
      <rPr>
        <sz val="10"/>
        <rFont val="Noto Sans CJK SC"/>
        <family val="2"/>
      </rPr>
      <t xml:space="preserve">경제적 여유를 위한 생활의 기반은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다지기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지출과 저축의 기준을 새로 세우고 정비하기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고정 지출이 얼마나 되는지 한 줄씩 기록해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더 현실적인 계획을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</si>
  <si>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</si>
  <si>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</si>
  <si>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여유를 위한 생활의 틀을 넓히고 다듬기가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쓰는 기준과 모으는 기준을 함께 정리해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충동적으로 산 물건을 한 달에 한 번 돌아보는 습관을 들여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기준이 더 또렷해질 수 있어요</t>
    </r>
    <r>
      <rPr>
        <sz val="10"/>
        <rFont val="맑은 고딕"/>
        <family val="0"/>
        <charset val="1"/>
      </rPr>
      <t xml:space="preserve">.</t>
    </r>
  </si>
  <si>
    <t xml:space="preserve">WISH_08_OPEN_4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</si>
  <si>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돈을 대하는 마음이 한결 차분해지고 경제적 여유를 위한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지출 점검이나 생활비 구조 정리를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작은 금액이라도 정해진 날에 따로 떼어 두는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</si>
  <si>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</si>
  <si>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여유의 바탕을 다지는 일에 가장 힘이 실립니다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생활의 안정과 지출 리듬을 함께 정돈하기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‘충분하다’는 느낌을 주는 생활의 기준을 몇 가지로 적어 두면 그해의 정돈이 훨씬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</si>
  <si>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WISH_08_OPENFB_2</t>
  </si>
  <si>
    <r>
      <rPr>
        <sz val="10"/>
        <rFont val="Noto Sans CJK SC"/>
        <family val="2"/>
      </rPr>
      <t xml:space="preserve">다섯 해 안에 경제적 여유를 위한 흐름이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꾸준한 지출 습관이 생활의 바탕을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바탕을 다지기 조금 더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지출을 돌아보는 날을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</si>
  <si>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</si>
  <si>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</si>
  <si>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여유를 위한 기반을 다지기 가장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계획보다 매달 작은 몫을 따로 떼어 두는 습관이 생활의 넉넉함을 키워 줘요</t>
    </r>
    <r>
      <rPr>
        <sz val="10"/>
        <rFont val="맑은 고딕"/>
        <family val="0"/>
        <charset val="1"/>
      </rPr>
      <t xml:space="preserve">.</t>
    </r>
  </si>
  <si>
    <t xml:space="preserve">WISH_08_OPENFB_4</t>
  </si>
  <si>
    <r>
      <rPr>
        <sz val="10"/>
        <rFont val="Noto Sans CJK SC"/>
        <family val="2"/>
      </rPr>
      <t xml:space="preserve">이어질 다섯 해는 순풍을 기다리기보다 생활의 기준을 차근차근 세워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기준을 정비하기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고정 지출을 한 해에 한 번씩 점검하는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</si>
  <si>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WISH_08_OPENFB_5</t>
  </si>
  <si>
    <r>
      <rPr>
        <sz val="10"/>
        <rFont val="Noto Sans CJK SC"/>
        <family val="2"/>
      </rPr>
      <t xml:space="preserve">다섯 해를 내다봐도 경제적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꾸준한 지출 리듬이 더 큰 힘이 돼요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생활의 기반을 넓히기가 한결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사고 싶은 것을 바로 사기보다 한 주 묵혀 두는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</si>
  <si>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WISH_09_FAV_2</t>
  </si>
  <si>
    <r>
      <rPr>
        <sz val="10"/>
        <rFont val="Noto Sans CJK SC"/>
        <family val="2"/>
      </rPr>
      <t xml:space="preserve">다가오는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꾸준히 해 온 일이 드러나고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몫을 알아봐 주는 사람이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한 일 가운데 자랑할 만한 것 하나를 골라 함께 일하는 사람과 짧게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칭찬을 받으면 손사래 치기보다 ‘고마워요’ 한마디로 기꺼이 받아 두는 연습도 해 보면 좋습니다</t>
    </r>
    <r>
      <rPr>
        <sz val="10"/>
        <rFont val="맑은 고딕"/>
        <family val="0"/>
        <charset val="1"/>
      </rPr>
      <t xml:space="preserve">.</t>
    </r>
  </si>
  <si>
    <t xml:space="preserve">WISH_09_FAV_3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</si>
  <si>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바라는 마음에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숨은 노력이 결과로 이어지고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맡고 싶던 역할에 이름이 오르내리기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잘한 일을 포트폴리오나 짧은 글로 정리해 필요한 사람에게 보여 줄 준비를 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기회가 몰릴수록 내가 정말 원하는 자리인지 한 번 더 살펴보는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</si>
  <si>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WISH_09_FAV_4</t>
  </si>
  <si>
    <r>
      <rPr>
        <sz val="10"/>
        <rFont val="Noto Sans CJK SC"/>
        <family val="2"/>
      </rPr>
      <t xml:space="preserve">애써 온 만큼 알아봐 주기를 바랐다면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해를 기대해도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회의나 모임에서 내 의견이 힘을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회의에서 준비한 생각 하나를 먼저 꺼내 말해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</si>
  <si>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WISH_09_FAV_5</t>
  </si>
  <si>
    <r>
      <rPr>
        <sz val="10"/>
        <rFont val="Noto Sans CJK SC"/>
        <family val="2"/>
      </rPr>
      <t xml:space="preserve">다가오는 해는 그동안의 노력이 제 이름을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 온 일이 감사의 말이나 좋은 평가로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도와준 사람의 몫도 함께 언급해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인정이 더 넓고 따뜻하게 퍼질 수 있습니다</t>
    </r>
    <r>
      <rPr>
        <sz val="10"/>
        <rFont val="맑은 고딕"/>
        <family val="0"/>
        <charset val="1"/>
      </rPr>
      <t xml:space="preserve">.</t>
    </r>
  </si>
  <si>
    <t xml:space="preserve">WISH_09_NEU_2</t>
  </si>
  <si>
    <r>
      <rPr>
        <sz val="10"/>
        <rFont val="Noto Sans CJK SC"/>
        <family val="2"/>
      </rPr>
      <t xml:space="preserve">다가오는 해는 인정이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해낸 일을 얼마나 분명하게 전하느냐가 평가를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일을 마칠 때마다 결과와 내가 맡은 부분을 한두 줄로 정리해 공유하는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</si>
  <si>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WISH_09_NEU_3</t>
  </si>
  <si>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남의 시선보다 나의 꾸준함이 열쇠가 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약속을 지키는 모습이 신뢰로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맡은 일 하나를 약속한 날보다 조금 일찍 끝내 보세요</t>
    </r>
    <r>
      <rPr>
        <sz val="10"/>
        <rFont val="맑은 고딕"/>
        <family val="0"/>
        <charset val="1"/>
      </rPr>
      <t xml:space="preserve">.</t>
    </r>
  </si>
  <si>
    <t xml:space="preserve">WISH_09_NEU_4</t>
  </si>
  <si>
    <r>
      <rPr>
        <sz val="10"/>
        <rFont val="Noto Sans CJK SC"/>
        <family val="2"/>
      </rPr>
      <t xml:space="preserve">인정은 다가오는 해에 기다리기보다 내가 다가갈 때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먼저 손을 드는 용기가 결과를 바꿉니다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일이나 맡고 싶은 역할이 있다면 담당자에게 한 번 직접 이야기해 보세요</t>
    </r>
    <r>
      <rPr>
        <sz val="10"/>
        <rFont val="맑은 고딕"/>
        <family val="0"/>
        <charset val="1"/>
      </rPr>
      <t xml:space="preserve">.</t>
    </r>
  </si>
  <si>
    <t xml:space="preserve">WISH_09_NEU_5</t>
  </si>
  <si>
    <r>
      <rPr>
        <sz val="10"/>
        <rFont val="Noto Sans CJK SC"/>
        <family val="2"/>
      </rPr>
      <t xml:space="preserve">다가오는 해의 인정은 스스로 나를 알아봐 주는 데서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어떻게 평가하느냐가 남의 평가에도 스며들기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잘한 일 하나를 소리 내어 말해 보세요</t>
    </r>
    <r>
      <rPr>
        <sz val="10"/>
        <rFont val="맑은 고딕"/>
        <family val="0"/>
        <charset val="1"/>
      </rPr>
      <t xml:space="preserve">.</t>
    </r>
  </si>
  <si>
    <t xml:space="preserve">WISH_09_HEAD_2</t>
  </si>
  <si>
    <r>
      <rPr>
        <sz val="10"/>
        <rFont val="Noto Sans CJK SC"/>
        <family val="2"/>
      </rPr>
      <t xml:space="preserve">다가오는 해는 인정을 기다리는 시간이 길게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더 높은 기준을 요구받거나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결과를 증명해야 하는 시험 같은 순간이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남의 칭찬을 목표로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꼭 익힐 실력 하나를 정해 꾸준히 연습해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시험을 지나며 쌓인 실력은 누가 보지 않아도 나를 증명해 주는 단단한 바탕이 됩니다</t>
    </r>
    <r>
      <rPr>
        <sz val="10"/>
        <rFont val="맑은 고딕"/>
        <family val="0"/>
        <charset val="1"/>
      </rPr>
      <t xml:space="preserve">.</t>
    </r>
  </si>
  <si>
    <t xml:space="preserve">WISH_09_HEAD_3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</si>
  <si>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얻기까지 조건이 까다롭게 느껴지는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돌아오는 반응이 적어 서운한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서운함이 쌓일 때는 믿을 만한 사람에게 내 일에 대한 솔직한 의견을 한 번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들은 조언과 다듬은 실력은 다음 기회에서 나를 한 단계 올려 줄 힘으로 남아요</t>
    </r>
    <r>
      <rPr>
        <sz val="10"/>
        <rFont val="맑은 고딕"/>
        <family val="0"/>
        <charset val="1"/>
      </rPr>
      <t xml:space="preserve">.</t>
    </r>
  </si>
  <si>
    <t xml:space="preserve">WISH_09_HEAD_4</t>
  </si>
  <si>
    <r>
      <rPr>
        <sz val="10"/>
        <rFont val="Noto Sans CJK SC"/>
        <family val="2"/>
      </rPr>
      <t xml:space="preserve">보이지 않는 곳에서 실력이 자라는 다가오는 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인정을 서두르기보다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 있는 자리에서 묵묵히 감당해야 할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일을 맡았을 때 혼자 끌어안기보다 필요한 도움을 분명하게 요청하는 연습을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익힌 무게를 나누는 법이 앞으로 더 큰 역할을 맡을 때 든든한 기초가 됩니다</t>
    </r>
    <r>
      <rPr>
        <sz val="10"/>
        <rFont val="맑은 고딕"/>
        <family val="0"/>
        <charset val="1"/>
      </rPr>
      <t xml:space="preserve">.</t>
    </r>
  </si>
  <si>
    <t xml:space="preserve">WISH_09_HEAD_5</t>
  </si>
  <si>
    <r>
      <rPr>
        <sz val="10"/>
        <rFont val="Noto Sans CJK SC"/>
        <family val="2"/>
      </rPr>
      <t xml:space="preserve">인정에 관해 솔직히 말하면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애쓴 만큼 박수가 바로 돌아오지 않아 지치는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해 준 칭찬 한 줄을 노트에 남겨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평가와 상관없이 나를 알아봐 준 그 기록들은 다음 기회를 맞을 때 쉽게 꺾이지 않는 자신감의 바탕이 됩니다</t>
    </r>
    <r>
      <rPr>
        <sz val="10"/>
        <rFont val="맑은 고딕"/>
        <family val="0"/>
        <charset val="1"/>
      </rPr>
      <t xml:space="preserve">.</t>
    </r>
  </si>
  <si>
    <t xml:space="preserve">WISH_09_OPEN_2</t>
  </si>
  <si>
    <r>
      <rPr>
        <sz val="10"/>
        <rFont val="Noto Sans CJK SC"/>
        <family val="2"/>
      </rPr>
      <t xml:space="preserve">바라던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또렷하게 돌아오기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쌓아 온 일이 사람들 눈에 띄고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대표할 수 있는 일 하나를 골라 깊이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보여 줄 이야기가 분명해져요</t>
    </r>
    <r>
      <rPr>
        <sz val="10"/>
        <rFont val="맑은 고딕"/>
        <family val="0"/>
        <charset val="1"/>
      </rPr>
      <t xml:space="preserve">.</t>
    </r>
  </si>
  <si>
    <t xml:space="preserve">WISH_09_OPEN_3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</si>
  <si>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그동안의 노력이 제 몫의 인정을 받기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맡고 싶던 자리에 손을 들거나 내 생각을 더 크게 말해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일을 쉽게 설명하는 한 문단을 미리 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기회 앞에서 망설임이 줄어들 수 있어요</t>
    </r>
    <r>
      <rPr>
        <sz val="10"/>
        <rFont val="맑은 고딕"/>
        <family val="0"/>
        <charset val="1"/>
      </rPr>
      <t xml:space="preserve">.</t>
    </r>
  </si>
  <si>
    <t xml:space="preserve">WISH_09_OPEN_4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</si>
  <si>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해 온 일이 사람들의 눈에 띄기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성과를 나누고 다음 목표를 공개적으로 밝혀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함께 일하는 사람들의 수고도 기억해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인정이 더 따뜻하게 이어질 수 있어요</t>
    </r>
    <r>
      <rPr>
        <sz val="10"/>
        <rFont val="맑은 고딕"/>
        <family val="0"/>
        <charset val="1"/>
      </rPr>
      <t xml:space="preserve">.</t>
    </r>
  </si>
  <si>
    <t xml:space="preserve">WISH_09_OPEN_5</t>
  </si>
  <si>
    <r>
      <rPr>
        <sz val="10"/>
        <rFont val="Noto Sans CJK SC"/>
        <family val="2"/>
      </rPr>
      <t xml:space="preserve">앞으로 다섯 해를 통틀어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반갑게 찾아오기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준비한 일을 세상에 내놓기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성과라도 주변에 나누는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드러내는 일이 한결 자연스러워질 수 있어요</t>
    </r>
    <r>
      <rPr>
        <sz val="10"/>
        <rFont val="맑은 고딕"/>
        <family val="0"/>
        <charset val="1"/>
      </rPr>
      <t xml:space="preserve">.</t>
    </r>
  </si>
  <si>
    <t xml:space="preserve">WISH_09_OPENFB_2</t>
  </si>
  <si>
    <r>
      <rPr>
        <sz val="10"/>
        <rFont val="Noto Sans CJK SC"/>
        <family val="2"/>
      </rPr>
      <t xml:space="preserve">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꾸준히 쌓은 실력이 평가를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인정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배운 것을 남에게 가르치거나 나눠 보는 경험을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</si>
  <si>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WISH_09_OPENFB_3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</si>
  <si>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남의 박수를 기다리기보다 스스로 정한 기준을 지켜 가는 힘이 인정의 바탕이 되어 줘요</t>
    </r>
    <r>
      <rPr>
        <sz val="10"/>
        <rFont val="맑은 고딕"/>
        <family val="0"/>
        <charset val="1"/>
      </rPr>
      <t xml:space="preserve">.</t>
    </r>
  </si>
  <si>
    <t xml:space="preserve">WISH_09_OPENFB_4</t>
  </si>
  <si>
    <r>
      <rPr>
        <sz val="10"/>
        <rFont val="Noto Sans CJK SC"/>
        <family val="2"/>
      </rPr>
      <t xml:space="preserve">이어질 다섯 해는 순풍을 기다리기보다 신뢰를 한 겹씩 쌓아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맡은 약속을 끝까지 지키는 경험을 차곡차곡 모아 가 보세요</t>
    </r>
    <r>
      <rPr>
        <sz val="10"/>
        <rFont val="맑은 고딕"/>
        <family val="0"/>
        <charset val="1"/>
      </rPr>
      <t xml:space="preserve">.</t>
    </r>
  </si>
  <si>
    <t xml:space="preserve">WISH_09_OPENFB_5</t>
  </si>
  <si>
    <r>
      <rPr>
        <sz val="10"/>
        <rFont val="Noto Sans CJK SC"/>
        <family val="2"/>
      </rPr>
      <t xml:space="preserve">다섯 해를 내다봐도 인정에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알아봐 주는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힘이 남의 인정으로도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주를 마칠 때 잘한 일을 스스로 짚어 주는 습관을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</si>
  <si>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WISH_10_FAV_2</t>
  </si>
  <si>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내 취향과 가치가 선명해지고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드러내는 일도 한결 편안해지기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것들을 사진이나 글로 모아 나만의 작은 기록장을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나다움은 남과 다름을 증명하는 일이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알아 가는 과정을 즐겨도 괜찮습니다</t>
    </r>
    <r>
      <rPr>
        <sz val="10"/>
        <rFont val="맑은 고딕"/>
        <family val="0"/>
        <charset val="1"/>
      </rPr>
      <t xml:space="preserve">.</t>
    </r>
  </si>
  <si>
    <t xml:space="preserve">WISH_10_FAV_3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</si>
  <si>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나다움을 찾는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기준에 맞추느라 미뤄 둔 마음이 다시 고개를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공간처럼 매일 보는 것 하나를 내 취향대로 바꿔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작은 선택들이 모여 나다운 하루의 모양을 만들어 줍니다</t>
    </r>
    <r>
      <rPr>
        <sz val="10"/>
        <rFont val="맑은 고딕"/>
        <family val="0"/>
        <charset val="1"/>
      </rPr>
      <t xml:space="preserve">.</t>
    </r>
  </si>
  <si>
    <t xml:space="preserve">WISH_10_FAV_4</t>
  </si>
  <si>
    <r>
      <rPr>
        <sz val="10"/>
        <rFont val="Noto Sans CJK SC"/>
        <family val="2"/>
      </rPr>
      <t xml:space="preserve">나답게 살고 싶다는 바람이 있다면 다가오는 해가 든든한 편이 되어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 목소리로 말하고 내 방식으로 일하는 데 용기가 붙기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작은 프로젝트 하나를 정해 결과보다 과정을 즐기며 이어 가 보세요</t>
    </r>
    <r>
      <rPr>
        <sz val="10"/>
        <rFont val="맑은 고딕"/>
        <family val="0"/>
        <charset val="1"/>
      </rPr>
      <t xml:space="preserve">.</t>
    </r>
  </si>
  <si>
    <t xml:space="preserve">WISH_10_FAV_5</t>
  </si>
  <si>
    <r>
      <rPr>
        <sz val="10"/>
        <rFont val="Noto Sans CJK SC"/>
        <family val="2"/>
      </rPr>
      <t xml:space="preserve">내가 누구인지 조금 더 알고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경험 속에서 몰랐던 나의 모습을 발견하기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평소라면 고르지 않았을 책이나 장소를 한 달에 한 번 골라 경험해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시도 속에서도 나에게 편안한 것과 아닌 것을 구분해 두면 나다움이 더 단단해집니다</t>
    </r>
    <r>
      <rPr>
        <sz val="10"/>
        <rFont val="맑은 고딕"/>
        <family val="0"/>
        <charset val="1"/>
      </rPr>
      <t xml:space="preserve">.</t>
    </r>
  </si>
  <si>
    <t xml:space="preserve">WISH_10_NEU_2</t>
  </si>
  <si>
    <r>
      <rPr>
        <sz val="10"/>
        <rFont val="Noto Sans CJK SC"/>
        <family val="2"/>
      </rPr>
      <t xml:space="preserve">다가오는 해는 나다움이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하루를 어떤 리듬으로 꾸리느냐에 따라 나다움이 또렷해지기도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좋아하는 일을 하며 보내는 두세 시간을 만들어 보세요</t>
    </r>
    <r>
      <rPr>
        <sz val="10"/>
        <rFont val="맑은 고딕"/>
        <family val="0"/>
        <charset val="1"/>
      </rPr>
      <t xml:space="preserve">.</t>
    </r>
  </si>
  <si>
    <t xml:space="preserve">WISH_10_NEU_3</t>
  </si>
  <si>
    <r>
      <rPr>
        <sz val="10"/>
        <rFont val="Noto Sans CJK SC"/>
        <family val="2"/>
      </rPr>
      <t xml:space="preserve">나다움을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하늘보다 내 선택이 길을 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싫은 것을 싫다고 말하는 작은 용기가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달에는 내키지 않는 부탁 하나를 정중하게 거절해 보세요</t>
    </r>
    <r>
      <rPr>
        <sz val="10"/>
        <rFont val="맑은 고딕"/>
        <family val="0"/>
        <charset val="1"/>
      </rPr>
      <t xml:space="preserve">.</t>
    </r>
  </si>
  <si>
    <t xml:space="preserve">WISH_10_NEU_4</t>
  </si>
  <si>
    <r>
      <rPr>
        <sz val="10"/>
        <rFont val="Noto Sans CJK SC"/>
        <family val="2"/>
      </rPr>
      <t xml:space="preserve">나다움은 다가오는 해에 거창한 결심보다 사소한 취향에서 자라기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고집이 나를 만들어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음악이나 점심 메뉴처럼 하루 하나쯤은 온전히 내 마음대로 골라 보세요</t>
    </r>
    <r>
      <rPr>
        <sz val="10"/>
        <rFont val="맑은 고딕"/>
        <family val="0"/>
        <charset val="1"/>
      </rPr>
      <t xml:space="preserve">.</t>
    </r>
  </si>
  <si>
    <t xml:space="preserve">WISH_10_NEU_5</t>
  </si>
  <si>
    <r>
      <rPr>
        <sz val="10"/>
        <rFont val="Noto Sans CJK SC"/>
        <family val="2"/>
      </rPr>
      <t xml:space="preserve">다가오는 해의 나다움은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 그대로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쥔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시간이 많을수록 방향도 분명해집니다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‘오늘 나다웠던 순간’과 ‘아니었던 순간’을 하나씩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새로운 나를 찾는 데 힘을 보태 줄 수도 있습니다</t>
    </r>
    <r>
      <rPr>
        <sz val="10"/>
        <rFont val="맑은 고딕"/>
        <family val="0"/>
        <charset val="1"/>
      </rPr>
      <t xml:space="preserve">.</t>
    </r>
  </si>
  <si>
    <t xml:space="preserve">WISH_10_HEAD_2</t>
  </si>
  <si>
    <r>
      <rPr>
        <sz val="10"/>
        <rFont val="Noto Sans CJK SC"/>
        <family val="2"/>
      </rPr>
      <t xml:space="preserve">다가오는 해는 나다움을 드러내기보다 안에서 단단히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일과 맡은 책임이 앞서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원하는 것을 뒤로 미루기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번 ‘지금 나는 무엇을 원하지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노트에 적고 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계속 던진 그 질문은 오래 가는 나만의 중심을 세워 줄 수 있어요</t>
    </r>
    <r>
      <rPr>
        <sz val="10"/>
        <rFont val="맑은 고딕"/>
        <family val="0"/>
        <charset val="1"/>
      </rPr>
      <t xml:space="preserve">.</t>
    </r>
  </si>
  <si>
    <t xml:space="preserve">WISH_10_HEAD_3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</si>
  <si>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시험대에 오르는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현실의 조건 때문에 내 방식대로 하기가 쉽지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내 뜻대로 하려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이것만은 양보하지 않겠다는 한 가지를 정해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한 가지가 나다움의 뿌리가 되어 줍니다</t>
    </r>
    <r>
      <rPr>
        <sz val="10"/>
        <rFont val="맑은 고딕"/>
        <family val="0"/>
        <charset val="1"/>
      </rPr>
      <t xml:space="preserve">.</t>
    </r>
  </si>
  <si>
    <t xml:space="preserve">WISH_10_HEAD_4</t>
  </si>
  <si>
    <r>
      <rPr>
        <sz val="10"/>
        <rFont val="Noto Sans CJK SC"/>
        <family val="2"/>
      </rPr>
      <t xml:space="preserve">나다움을 바라는 당신에게 다가오는 해는 걸음이 조금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해내야 할 조건이 많아 내가 좋아하는 것을 즐길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잠들기 전처럼 짧은 틈에 좋아하는 일을 끼워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틈틈이 지켜 낸 취향은 바쁜 해가 지나도 나를 나답게 붙들어 주는 끈으로 남아요</t>
    </r>
    <r>
      <rPr>
        <sz val="10"/>
        <rFont val="맑은 고딕"/>
        <family val="0"/>
        <charset val="1"/>
      </rPr>
      <t xml:space="preserve">.</t>
    </r>
  </si>
  <si>
    <t xml:space="preserve">WISH_10_HEAD_5</t>
  </si>
  <si>
    <r>
      <rPr>
        <sz val="10"/>
        <rFont val="Noto Sans CJK SC"/>
        <family val="2"/>
      </rPr>
      <t xml:space="preserve">나다움이라는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책임이 먼저 앞에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남이 정한 기준에 맞춰야 하는 순간이 많아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생활에서 내가 정말 소중하게 여기는 가치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 앞에서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가치는 앞으로 어떤 길을 고르든 나를 지켜 주는 나침반이 됩니다</t>
    </r>
    <r>
      <rPr>
        <sz val="10"/>
        <rFont val="맑은 고딕"/>
        <family val="0"/>
        <charset val="1"/>
      </rPr>
      <t xml:space="preserve">.</t>
    </r>
  </si>
  <si>
    <t xml:space="preserve">WISH_10_OPEN_2</t>
  </si>
  <si>
    <r>
      <rPr>
        <sz val="10"/>
        <rFont val="Noto Sans CJK SC"/>
        <family val="2"/>
      </rPr>
      <t xml:space="preserve">바라던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선명해지기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남의 기대보다 내 마음이 끌리는 선택을 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좋아하는 것과 싫어하는 것을 틈틈이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선택 앞에서 덜 망설일 수 있어요</t>
    </r>
    <r>
      <rPr>
        <sz val="10"/>
        <rFont val="맑은 고딕"/>
        <family val="0"/>
        <charset val="1"/>
      </rPr>
      <t xml:space="preserve">.</t>
    </r>
  </si>
  <si>
    <t xml:space="preserve">WISH_10_OPEN_3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</si>
  <si>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나를 드러내는 일이 한층 자연스러워집니다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나만의 작업이나 새로운 표현 방식을 시도해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혼자 있는 시간을 조금씩 늘려 내 목소리에 귀 기울이는 연습을 해 두세요</t>
    </r>
    <r>
      <rPr>
        <sz val="10"/>
        <rFont val="맑은 고딕"/>
        <family val="0"/>
        <charset val="1"/>
      </rPr>
      <t xml:space="preserve">.</t>
    </r>
  </si>
  <si>
    <t xml:space="preserve">WISH_10_OPEN_4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</si>
  <si>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원하는 삶의 모양이 뚜렷해지기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나다움을 기준으로 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우선순위를 다시 정해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나를 설레게 하는 일들을 목록으로 모아 두면 그해의 선택이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</si>
  <si>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WISH_10_OPEN_5</t>
  </si>
  <si>
    <r>
      <rPr>
        <sz val="10"/>
        <rFont val="Noto Sans CJK SC"/>
        <family val="2"/>
      </rPr>
      <t xml:space="preserve">다섯 해를 통틀어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환하게 피어나기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품어 온 나만의 방식을 세상에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결정부터 내 기준으로 고르는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선택도 나답게 내릴 수 있어요</t>
    </r>
    <r>
      <rPr>
        <sz val="10"/>
        <rFont val="맑은 고딕"/>
        <family val="0"/>
        <charset val="1"/>
      </rPr>
      <t xml:space="preserve">.</t>
    </r>
  </si>
  <si>
    <t xml:space="preserve">WISH_10_OPENFB_2</t>
  </si>
  <si>
    <r>
      <rPr>
        <sz val="10"/>
        <rFont val="Noto Sans CJK SC"/>
        <family val="2"/>
      </rPr>
      <t xml:space="preserve">다섯 해 안에 나다움이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나를 들여다보는 시간이 방향을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나다움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혼자만의 시간을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</si>
  <si>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WISH_10_OPENFB_3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</si>
  <si>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결심보다 매일 하나씩 내 마음대로 고르는 작은 선택이 나다움을 키워 줘요</t>
    </r>
    <r>
      <rPr>
        <sz val="10"/>
        <rFont val="맑은 고딕"/>
        <family val="0"/>
        <charset val="1"/>
      </rPr>
      <t xml:space="preserve">.</t>
    </r>
  </si>
  <si>
    <t xml:space="preserve">WISH_10_OPENFB_4</t>
  </si>
  <si>
    <r>
      <rPr>
        <sz val="10"/>
        <rFont val="Noto Sans CJK SC"/>
        <family val="2"/>
      </rPr>
      <t xml:space="preserve">이어질 다섯 해는 순풍을 기다리기보다 나만의 기준을 조금씩 다듬어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내가 소중하게 여기는 가치를 몇 가지로 적고 가끔 꺼내 보세요</t>
    </r>
    <r>
      <rPr>
        <sz val="10"/>
        <rFont val="맑은 고딕"/>
        <family val="0"/>
        <charset val="1"/>
      </rPr>
      <t xml:space="preserve">.</t>
    </r>
  </si>
  <si>
    <t xml:space="preserve">WISH_10_OPENFB_5</t>
  </si>
  <si>
    <r>
      <rPr>
        <sz val="10"/>
        <rFont val="Noto Sans CJK SC"/>
        <family val="2"/>
      </rPr>
      <t xml:space="preserve">다섯 해를 내다봐도 나다움에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연습이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연습이 눈에 보이는 선택으로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내키지 않는 일에 ‘아니요’라고 말하는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</si>
  <si>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WISH_11_FAV_2</t>
  </si>
  <si>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낯선 배움이나 처음 가 보는 곳에서 뜻밖의 가능성을 만나기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싶던 것의 입문 강의 하나를 골라 첫 수업을 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시작이 가벼울수록 오래 이어 가기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완벽하게 준비하려 하지 않아도 괜찮습니다</t>
    </r>
    <r>
      <rPr>
        <sz val="10"/>
        <rFont val="맑은 고딕"/>
        <family val="0"/>
        <charset val="1"/>
      </rPr>
      <t xml:space="preserve">.</t>
    </r>
  </si>
  <si>
    <t xml:space="preserve">WISH_11_FAV_3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</si>
  <si>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망설이던 일도 막상 첫발을 떼면 생각보다 순조롭게 굴러가기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해 보고 싶은 일을 이미 하고 있는 사람의 이야기를 찾아 듣거나 직접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시작이 즐거운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기존에 하던 일을 정리할 시간도 함께 마련해 두는 편이 좋습니다</t>
    </r>
    <r>
      <rPr>
        <sz val="10"/>
        <rFont val="맑은 고딕"/>
        <family val="0"/>
        <charset val="1"/>
      </rPr>
      <t xml:space="preserve">.</t>
    </r>
  </si>
  <si>
    <t xml:space="preserve">WISH_11_FAV_4</t>
  </si>
  <si>
    <r>
      <rPr>
        <sz val="10"/>
        <rFont val="Noto Sans CJK SC"/>
        <family val="2"/>
      </rPr>
      <t xml:space="preserve">새 출발을 꿈꿔 왔다면 다가오는 해가 문을 활짝 열어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처음 해 보는 일에도 도와줄 사람과 기회가 닿기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걸어 보거나 처음 가 보는 모임에 참여하는 것처럼 익숙한 반경을 한 걸음 넓혀 보세요</t>
    </r>
    <r>
      <rPr>
        <sz val="10"/>
        <rFont val="맑은 고딕"/>
        <family val="0"/>
        <charset val="1"/>
      </rPr>
      <t xml:space="preserve">.</t>
    </r>
  </si>
  <si>
    <t xml:space="preserve">WISH_11_FAV_5</t>
  </si>
  <si>
    <r>
      <rPr>
        <sz val="10"/>
        <rFont val="Noto Sans CJK SC"/>
        <family val="2"/>
      </rPr>
      <t xml:space="preserve">처음부터 다시 해 보고 싶은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설렘이 두려움보다 조금 더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첫걸음을 응원해 주는 흐름이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쓰지 않던 노트 한 권을 꺼내 첫 장에 이루고 싶은 모습을 적는 것으로 시작을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갈래가 동시에 열릴 수 있으니 가장 마음이 가는 한 길을 먼저 골라 걷는 편이 좋습니다</t>
    </r>
    <r>
      <rPr>
        <sz val="10"/>
        <rFont val="맑은 고딕"/>
        <family val="0"/>
        <charset val="1"/>
      </rPr>
      <t xml:space="preserve">.</t>
    </r>
  </si>
  <si>
    <t xml:space="preserve">WISH_11_NEU_2</t>
  </si>
  <si>
    <r>
      <rPr>
        <sz val="10"/>
        <rFont val="Noto Sans CJK SC"/>
        <family val="2"/>
      </rPr>
      <t xml:space="preserve">다가오는 해는 새로운 시작이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첫발을 떼느냐보다 떼고 나서 얼마나 이어 가느냐가 더 중요해지기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하루 십 분짜리로 쪼개 이번 주에 세 번만 해 보세요</t>
    </r>
    <r>
      <rPr>
        <sz val="10"/>
        <rFont val="맑은 고딕"/>
        <family val="0"/>
        <charset val="1"/>
      </rPr>
      <t xml:space="preserve">.</t>
    </r>
  </si>
  <si>
    <t xml:space="preserve">WISH_11_NEU_3</t>
  </si>
  <si>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출발의 때를 내가 고르는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준비가 되었다고 느끼는 순간을 스스로 정하는 힘이 필요합니다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이것만 갖추면 시작한다’는 조건을 한 가지로 줄여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첫걸음을 가볍게 밀어 줄 수도 있어요</t>
    </r>
    <r>
      <rPr>
        <sz val="10"/>
        <rFont val="맑은 고딕"/>
        <family val="0"/>
        <charset val="1"/>
      </rPr>
      <t xml:space="preserve">.</t>
    </r>
  </si>
  <si>
    <t xml:space="preserve">WISH_11_NEU_4</t>
  </si>
  <si>
    <r>
      <rPr>
        <sz val="10"/>
        <rFont val="Noto Sans CJK SC"/>
        <family val="2"/>
      </rPr>
      <t xml:space="preserve">새로운 시작은 다가오는 해에 기다림보다 작은 실행에서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첫발의 크기보다 첫발을 뗐다는 사실이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늘 다니던 길 대신 다른 길로 걸어 보거나 처음 먹어 보는 메뉴를 고르는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일상의 작은 처음부터 경험해 보세요</t>
    </r>
    <r>
      <rPr>
        <sz val="10"/>
        <rFont val="맑은 고딕"/>
        <family val="0"/>
        <charset val="1"/>
      </rPr>
      <t xml:space="preserve">.</t>
    </r>
  </si>
  <si>
    <t xml:space="preserve">WISH_11_NEU_5</t>
  </si>
  <si>
    <r>
      <rPr>
        <sz val="10"/>
        <rFont val="Noto Sans CJK SC"/>
        <family val="2"/>
      </rPr>
      <t xml:space="preserve">새로운 시작의 열쇠는 다가오는 해에 내 손에 쥐어져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시작해 줄 사람 한 명을 찾아 서로의 첫걸음을 응원하는 약속을 해 보세요</t>
    </r>
    <r>
      <rPr>
        <sz val="10"/>
        <rFont val="맑은 고딕"/>
        <family val="0"/>
        <charset val="1"/>
      </rPr>
      <t xml:space="preserve">.</t>
    </r>
  </si>
  <si>
    <t xml:space="preserve">WISH_11_HEAD_2</t>
  </si>
  <si>
    <r>
      <rPr>
        <sz val="10"/>
        <rFont val="Noto Sans CJK SC"/>
        <family val="2"/>
      </rPr>
      <t xml:space="preserve">다가오는 해는 새로운 시작을 위한 땅을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무언가를 시작하려 할 때 갖춰야 할 조건과 책임이 먼저 눈에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일을 작은 규모로 미리 연습해 보는 ‘시험 운행’을 한 번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다진 준비와 연습은 새로운 시작이 오래 이어지도록 받쳐 주는 주춧돌이 됩니다</t>
    </r>
    <r>
      <rPr>
        <sz val="10"/>
        <rFont val="맑은 고딕"/>
        <family val="0"/>
        <charset val="1"/>
      </rPr>
      <t xml:space="preserve">.</t>
    </r>
  </si>
  <si>
    <t xml:space="preserve">WISH_11_HEAD_3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</si>
  <si>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생각보다 더디게 움직이는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첫발을 떼려 할 때마다 넘어야 할 문턱이 하나씩 나타나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시작의 크기를 줄여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가장 작은 준비 하나에 집중해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문턱을 하나씩 넘으며 얻은 끈기는 출발 뒤의 긴 길을 견디게 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</si>
  <si>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WISH_11_HEAD_4</t>
  </si>
  <si>
    <r>
      <rPr>
        <sz val="10"/>
        <rFont val="Noto Sans CJK SC"/>
        <family val="2"/>
      </rPr>
      <t xml:space="preserve">새로운 시작을 꿈꾸는 당신에게 다가오는 해는 출발선 앞에서 숨을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지금 맡은 일을 마무리하는 책임이 무겁게 남아 새 일을 벌이기 쉽지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끝내지 못한 일 하나를 골라 이 해 안에 깔끔하게 마무리해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끝맺은 경험은 다음 시작을 가볍고 단단하게 만들어 주는 바탕이 되어 줘요</t>
    </r>
    <r>
      <rPr>
        <sz val="10"/>
        <rFont val="맑은 고딕"/>
        <family val="0"/>
        <charset val="1"/>
      </rPr>
      <t xml:space="preserve">.</t>
    </r>
  </si>
  <si>
    <t xml:space="preserve">WISH_11_HEAD_5</t>
  </si>
  <si>
    <r>
      <rPr>
        <sz val="10"/>
        <rFont val="Noto Sans CJK SC"/>
        <family val="2"/>
      </rPr>
      <t xml:space="preserve">솔직하게 말하면 다가오는 해는 새로운 시작이 단번에 열리는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시작에 따르는 조건을 하나하나 확인하고 채워야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분야의 사람들과 미리 이야기를 나누며 현실적인 정보를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모은 정보와 관계는 막상 출발할 때 길을 잃지 않게 해 주는 지도가 되어 줍니다</t>
    </r>
    <r>
      <rPr>
        <sz val="10"/>
        <rFont val="맑은 고딕"/>
        <family val="0"/>
        <charset val="1"/>
      </rPr>
      <t xml:space="preserve">.</t>
    </r>
  </si>
  <si>
    <t xml:space="preserve">WISH_11_OPEN_2</t>
  </si>
  <si>
    <r>
      <rPr>
        <sz val="10"/>
        <rFont val="Noto Sans CJK SC"/>
        <family val="2"/>
      </rPr>
      <t xml:space="preserve">바라던 새로운 시작은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힘차게 문을 열기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낯선 일과 배움에 뛰어들기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관심 가는 분야의 짧은 체험을 틈틈이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길을 고를지 분명해져요</t>
    </r>
    <r>
      <rPr>
        <sz val="10"/>
        <rFont val="맑은 고딕"/>
        <family val="0"/>
        <charset val="1"/>
      </rPr>
      <t xml:space="preserve">.</t>
    </r>
  </si>
  <si>
    <t xml:space="preserve">WISH_11_OPEN_3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</si>
  <si>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오래 품어 온 계획을 실행에 옮기기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역할에 마음을 열어 두기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하는 일 가운데 정리할 것과 이어 갈 것을 나눠 두면 새 출발이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</si>
  <si>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WISH_11_OPEN_4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</si>
  <si>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시작 앞의 망설임이 한결 옅어지기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처음 해 보는 일을 작게라도 직접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시작에 필요한 시간과 비용을 조금씩 마련해 두세요</t>
    </r>
    <r>
      <rPr>
        <sz val="10"/>
        <rFont val="맑은 고딕"/>
        <family val="0"/>
        <charset val="1"/>
      </rPr>
      <t xml:space="preserve">.</t>
    </r>
  </si>
  <si>
    <t xml:space="preserve">WISH_11_OPEN_5</t>
  </si>
  <si>
    <r>
      <rPr>
        <sz val="10"/>
        <rFont val="Noto Sans CJK SC"/>
        <family val="2"/>
      </rPr>
      <t xml:space="preserve">앞으로의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새로운 시작을 위한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익숙한 자리를 벗어나 한 걸음 나아가기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처음을 자주 경험해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시작도 덜 낯설게 맞을 수 있습니다</t>
    </r>
    <r>
      <rPr>
        <sz val="10"/>
        <rFont val="맑은 고딕"/>
        <family val="0"/>
        <charset val="1"/>
      </rPr>
      <t xml:space="preserve">.</t>
    </r>
  </si>
  <si>
    <t xml:space="preserve">WISH_11_OPENFB_2</t>
  </si>
  <si>
    <r>
      <rPr>
        <sz val="10"/>
        <rFont val="Noto Sans CJK SC"/>
        <family val="2"/>
      </rPr>
      <t xml:space="preserve">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작은 시도를 거듭하는 용기가 출발을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새로운 시작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번씩 낯선 경험을 해 보면 좋습니다</t>
    </r>
    <r>
      <rPr>
        <sz val="10"/>
        <rFont val="맑은 고딕"/>
        <family val="0"/>
        <charset val="1"/>
      </rPr>
      <t xml:space="preserve">.</t>
    </r>
  </si>
  <si>
    <t xml:space="preserve">WISH_11_OPENFB_3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</si>
  <si>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거창한 출발보다 작게 시작해 꾸준히 이어 가는 방식이 새로운 시작을 오래 지켜 줘요</t>
    </r>
    <r>
      <rPr>
        <sz val="10"/>
        <rFont val="맑은 고딕"/>
        <family val="0"/>
        <charset val="1"/>
      </rPr>
      <t xml:space="preserve">.</t>
    </r>
  </si>
  <si>
    <t xml:space="preserve">WISH_11_OPENFB_4</t>
  </si>
  <si>
    <r>
      <rPr>
        <sz val="10"/>
        <rFont val="Noto Sans CJK SC"/>
        <family val="2"/>
      </rPr>
      <t xml:space="preserve">이어질 다섯 해는 순풍을 기다리기보다 출발에 필요한 준비를 한 칸씩 채워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시작에 필요한 기술 하나를 정해 꾸준히 익혀 가 보세요</t>
    </r>
    <r>
      <rPr>
        <sz val="10"/>
        <rFont val="맑은 고딕"/>
        <family val="0"/>
        <charset val="1"/>
      </rPr>
      <t xml:space="preserve">.</t>
    </r>
  </si>
  <si>
    <t xml:space="preserve">WISH_11_OPENFB_5</t>
  </si>
  <si>
    <r>
      <rPr>
        <sz val="10"/>
        <rFont val="Noto Sans CJK SC"/>
        <family val="2"/>
      </rPr>
      <t xml:space="preserve">다섯 해를 내다봐도 새로운 시작에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문을 여는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문이 한결 가볍게 열리기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 가운데 마무리할 것을 미리 정리해 두면 좋습니다</t>
    </r>
    <r>
      <rPr>
        <sz val="10"/>
        <rFont val="맑은 고딕"/>
        <family val="0"/>
        <charset val="1"/>
      </rPr>
      <t xml:space="preserve">.</t>
    </r>
  </si>
  <si>
    <t xml:space="preserve">고민 영역</t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</si>
  <si>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</si>
  <si>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</si>
  <si>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</si>
  <si>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</si>
  <si>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</si>
  <si>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</si>
  <si>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</si>
  <si>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</si>
  <si>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</si>
  <si>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</si>
  <si>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</si>
  <si>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</si>
  <si>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</si>
  <si>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</si>
  <si>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</si>
  <si>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</si>
  <si>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</si>
  <si>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</si>
  <si>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소요 시간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분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</si>
  <si>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PRAC_LEAN_CAREER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</si>
  <si>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</si>
  <si>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THX-LTA-18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</si>
  <si>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해낸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부탁해도 됐던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하나씩 나란히 적기</t>
    </r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</si>
  <si>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 이름과 그에게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</si>
  <si>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기대거나 혼자 다 짊어지면 어느 쪽이든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</si>
  <si>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의존과 반의존</t>
    </r>
    <r>
      <rPr>
        <sz val="10"/>
        <rFont val="맑은 고딕"/>
        <family val="0"/>
        <charset val="1"/>
      </rPr>
      <t xml:space="preserve">(Dependence &amp; counterdependence -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</si>
  <si>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WORK-TALK-L1-02</t>
  </si>
  <si>
    <t xml:space="preserve">모르는 것을 인정하고 도움을 청해보기</t>
  </si>
  <si>
    <r>
      <rPr>
        <sz val="10"/>
        <rFont val="Noto Sans CJK SC"/>
        <family val="2"/>
      </rPr>
      <t xml:space="preserve">오늘 업무 중 막히는 것 하나를 혼자 오래 붙잡기 전에 아는 동료에게 짧게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사소한 질문일수록 연습으로는 더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</si>
  <si>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물어본 경험이 쌓이면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물어봐도 괜찮다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도움을 청할 때의 부담도 그만큼 줄어들어요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</si>
  <si>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PPT:fit · REBT:fit · ST:fit · WBT:fit</t>
    </r>
  </si>
  <si>
    <t xml:space="preserve">재직 중일 때</t>
  </si>
  <si>
    <t xml:space="preserve">WORK-HELP-L1-01</t>
  </si>
  <si>
    <t xml:space="preserve">혼자 끌어안지 않고 가볍게 이야기해보기</t>
  </si>
  <si>
    <r>
      <rPr>
        <sz val="10"/>
        <rFont val="Noto Sans CJK SC"/>
        <family val="2"/>
      </rPr>
      <t xml:space="preserve">요즘 일 때문에 마음이 무거웠다면 편한 동료나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 일이 좀 버거워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</si>
  <si>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마음은 말로 나누기만 해도 무게가 조금 덜어집니다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사람이 곁에 있다는 걸 확인하는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</si>
  <si>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배경 미기재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DB)</t>
    </r>
  </si>
  <si>
    <t xml:space="preserve">3~5 · - · -</t>
  </si>
  <si>
    <r>
      <rPr>
        <sz val="10"/>
        <rFont val="맑은 고딕"/>
        <family val="0"/>
        <charset val="1"/>
      </rPr>
      <t xml:space="preserve">THX-LTA-18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이 실천은 적기까지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부탁은 다음 실천</t>
    </r>
    <r>
      <rPr>
        <sz val="10"/>
        <rFont val="맑은 고딕"/>
        <family val="0"/>
        <charset val="1"/>
      </rPr>
      <t xml:space="preserve">(WORK-TALK-L1-02)</t>
    </r>
    <r>
      <rPr>
        <sz val="10"/>
        <rFont val="Noto Sans CJK SC"/>
        <family val="2"/>
      </rPr>
      <t xml:space="preserve">으로 이어짐 — 같은 행에 배치함</t>
    </r>
    <r>
      <rPr>
        <sz val="10"/>
        <rFont val="맑은 고딕"/>
        <family val="0"/>
        <charset val="1"/>
      </rPr>
      <t xml:space="preserve">.</t>
    </r>
  </si>
  <si>
    <t xml:space="preserve">PRAC_LEAN_GROWTH</t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</si>
  <si>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</si>
  <si>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THX-REBT-12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</si>
  <si>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보기</t>
    </r>
  </si>
  <si>
    <r>
      <rPr>
        <sz val="10"/>
        <rFont val="Noto Sans CJK SC"/>
        <family val="2"/>
      </rPr>
      <t xml:space="preserve">준비 중인 공부나 계획에서 막히는 일 하나를 골라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안다면 해 볼까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방법을 몰라서라면 물어볼 사람이나 자료를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불안해서라면 그때 속으로 한 말을 한 줄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</si>
  <si>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가려지면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</si>
  <si>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기술 부족과 신념 문제 구분</t>
    </r>
    <r>
      <rPr>
        <sz val="10"/>
        <rFont val="맑은 고딕"/>
        <family val="0"/>
        <charset val="1"/>
      </rPr>
      <t xml:space="preserve">(Skill deficit vs belief problem - REBT, Ellis)</t>
    </r>
  </si>
  <si>
    <t xml:space="preserve">THX-LTA-07</t>
  </si>
  <si>
    <t xml:space="preserve">기준은 높아도 여유 있는 사람에게 하루 시간 배분 물어보기</t>
  </si>
  <si>
    <r>
      <rPr>
        <sz val="10"/>
        <rFont val="Noto Sans CJK SC"/>
        <family val="2"/>
      </rPr>
      <t xml:space="preserve">자기 일을 잘하면서도 삶을 즐기는 것 같은 사람 한 명에게 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잠에 하루를 어떻게 나눠 쓰는지 가볍게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하루와 나란히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다른 칸 하나만 조금 옮겨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</si>
  <si>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기준이 적당한지는 혼자 가늠하기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따라 하지 않고 참고만 해도 균형을 찾는 데 도움을 받을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</si>
  <si>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합리적 기준 인터뷰</t>
    </r>
    <r>
      <rPr>
        <sz val="10"/>
        <rFont val="맑은 고딕"/>
        <family val="0"/>
        <charset val="1"/>
      </rPr>
      <t xml:space="preserve">(Reasonable standards interview - </t>
    </r>
    <r>
      <rPr>
        <sz val="10"/>
        <rFont val="Noto Sans CJK SC"/>
        <family val="2"/>
      </rPr>
      <t xml:space="preserve">가혹한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</si>
  <si>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THX-WBT-18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</si>
  <si>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적고 잠깐 쉬어보기</t>
    </r>
  </si>
  <si>
    <r>
      <rPr>
        <sz val="10"/>
        <rFont val="Noto Sans CJK SC"/>
        <family val="2"/>
      </rPr>
      <t xml:space="preserve">공부나 준비 때문에 쉬지 못한 순간을 떠올려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쉬어도 되는 때를 정해 실제로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떠오르는 생각에는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</si>
  <si>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데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</si>
  <si>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환경 숙달의 쏠림과 쉼 허락</t>
    </r>
    <r>
      <rPr>
        <sz val="10"/>
        <rFont val="맑은 고딕"/>
        <family val="0"/>
        <charset val="1"/>
      </rPr>
      <t xml:space="preserve">(Environmental mastery, allow rest - WBT, Fava)</t>
    </r>
  </si>
  <si>
    <t xml:space="preserve">5~10 · 10~20 · 10~15</t>
  </si>
  <si>
    <r>
      <rPr>
        <sz val="10"/>
        <rFont val="맑은 고딕"/>
        <family val="0"/>
        <charset val="1"/>
      </rPr>
      <t xml:space="preserve">THX-LTA-07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비교로 위축되면 멈추기</t>
    </r>
    <r>
      <rPr>
        <sz val="10"/>
        <rFont val="맑은 고딕"/>
        <family val="0"/>
        <charset val="1"/>
      </rPr>
      <t xml:space="preserve">. THX-WBT-18: </t>
    </r>
    <r>
      <rPr>
        <sz val="10"/>
        <rFont val="Noto Sans CJK SC"/>
        <family val="2"/>
      </rPr>
      <t xml:space="preserve">쉼을 성과로 만들지 않기</t>
    </r>
    <r>
      <rPr>
        <sz val="10"/>
        <rFont val="맑은 고딕"/>
        <family val="0"/>
        <charset val="1"/>
      </rPr>
      <t xml:space="preserve">.</t>
    </r>
  </si>
  <si>
    <t xml:space="preserve">PRAC_LEAN_LOVE</t>
  </si>
  <si>
    <t xml:space="preserve">연애</t>
  </si>
  <si>
    <t xml:space="preserve">THX-ST-13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</si>
  <si>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따뜻함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든든함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칸에 바라는 것 한 줄씩 쓰기</t>
    </r>
  </si>
  <si>
    <r>
      <rPr>
        <sz val="10"/>
        <rFont val="Noto Sans CJK SC"/>
        <family val="2"/>
      </rPr>
      <t xml:space="preserve">안아 주고 관심 가져 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 주고 알아주기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힘을 실어 주기 세 칸에 요즘 연애에서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이렇게 해 주면 좋겠다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골라 상대나 가까운 사람에게 건넬 문장으로 바꿔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</si>
  <si>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받고 싶은 것이 따뜻함인지 이해인지 든든함인지 이름이 붙으면 청할 방향이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서운함보다 훨씬 전하기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</si>
  <si>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TH-ST · </t>
    </r>
    <r>
      <rPr>
        <sz val="10"/>
        <rFont val="Noto Sans CJK SC"/>
        <family val="2"/>
      </rPr>
      <t xml:space="preserve">정서적 결핍의 세 종류</t>
    </r>
    <r>
      <rPr>
        <sz val="10"/>
        <rFont val="맑은 고딕"/>
        <family val="0"/>
        <charset val="1"/>
      </rPr>
      <t xml:space="preserve">(Three types of deprivation - </t>
    </r>
    <r>
      <rPr>
        <sz val="10"/>
        <rFont val="Noto Sans CJK SC"/>
        <family val="2"/>
      </rPr>
      <t xml:space="preserve">스키마치료</t>
    </r>
    <r>
      <rPr>
        <sz val="10"/>
        <rFont val="맑은 고딕"/>
        <family val="0"/>
        <charset val="1"/>
      </rPr>
      <t xml:space="preserve">, Young)</t>
    </r>
  </si>
  <si>
    <t xml:space="preserve">THX-EFT-12</t>
  </si>
  <si>
    <r>
      <rPr>
        <sz val="10"/>
        <rFont val="Noto Sans CJK SC"/>
        <family val="2"/>
      </rPr>
      <t xml:space="preserve">외로울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필요하구나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적고 작은 연결 하나 하기</t>
    </r>
  </si>
  <si>
    <r>
      <rPr>
        <sz val="10"/>
        <rFont val="Noto Sans CJK SC"/>
        <family val="2"/>
      </rPr>
      <t xml:space="preserve">외로움이나 허전함이 올라오면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나는 연결이 필요하구나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한 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탓하지 않는 문장 하나를 나에게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안부 메시지 한 통처럼 오늘 할 수 있는 작은 연결 하나를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</si>
  <si>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외로움은 부족함이 아니라 연결이 필요하다는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인정하고 작게 채우면 기대는 힘도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</si>
  <si>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혼자일 때의 안정 기반</t>
    </r>
    <r>
      <rPr>
        <sz val="10"/>
        <rFont val="맑은 고딕"/>
        <family val="0"/>
        <charset val="1"/>
      </rPr>
      <t xml:space="preserve">(Secure base within - EFT </t>
    </r>
    <r>
      <rPr>
        <sz val="10"/>
        <rFont val="Noto Sans CJK SC"/>
        <family val="2"/>
      </rPr>
      <t xml:space="preserve">개인 버전</t>
    </r>
    <r>
      <rPr>
        <sz val="10"/>
        <rFont val="맑은 고딕"/>
        <family val="0"/>
        <charset val="1"/>
      </rPr>
      <t xml:space="preserve">, Johnson)</t>
    </r>
  </si>
  <si>
    <t xml:space="preserve">NEW-COUPLE-CARE-04</t>
  </si>
  <si>
    <t xml:space="preserve">각자 선호하는 응원 표현 알아보기</t>
  </si>
  <si>
    <r>
      <rPr>
        <sz val="10"/>
        <rFont val="Noto Sans CJK SC"/>
        <family val="2"/>
      </rPr>
      <t xml:space="preserve">힘든 날 어떤 말이 부담스럽고 어떤 말이 도움이 되는지 연인과 서로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</si>
  <si>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응원도 사람마다 와닿는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</si>
  <si>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지지의 적합도</t>
    </r>
    <r>
      <rPr>
        <sz val="10"/>
        <rFont val="맑은 고딕"/>
        <family val="0"/>
        <charset val="1"/>
      </rPr>
      <t xml:space="preserve">(Support matching)</t>
    </r>
  </si>
  <si>
    <t xml:space="preserve">연인이 있을 때</t>
  </si>
  <si>
    <t xml:space="preserve">5~10 · 3~10 · 8~10</t>
  </si>
  <si>
    <r>
      <rPr>
        <sz val="10"/>
        <rFont val="맑은 고딕"/>
        <family val="0"/>
        <charset val="1"/>
      </rPr>
      <t xml:space="preserve">THX-EFT-12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상 싱글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사용자용 — 연인이 없는 사용자도 이 행에서 실천 두 개는 할 수 있게 구성</t>
    </r>
    <r>
      <rPr>
        <sz val="10"/>
        <rFont val="맑은 고딕"/>
        <family val="0"/>
        <charset val="1"/>
      </rPr>
      <t xml:space="preserve">. THX-ST-13: </t>
    </r>
    <r>
      <rPr>
        <sz val="10"/>
        <rFont val="Noto Sans CJK SC"/>
        <family val="2"/>
      </rPr>
      <t xml:space="preserve">어린 시절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 탓으로 번지지 않게</t>
    </r>
    <r>
      <rPr>
        <sz val="10"/>
        <rFont val="맑은 고딕"/>
        <family val="0"/>
        <charset val="1"/>
      </rPr>
      <t xml:space="preserve">.</t>
    </r>
  </si>
  <si>
    <t xml:space="preserve">PRAC_LEAN_FAMILY</t>
  </si>
  <si>
    <t xml:space="preserve">가족</t>
  </si>
  <si>
    <t xml:space="preserve">THX-IPT-01</t>
  </si>
  <si>
    <t xml:space="preserve">내 곁의 사람 지도를 그리고 마음 쓰이는 한 명에 별표하기</t>
  </si>
  <si>
    <r>
      <rPr>
        <sz val="10"/>
        <rFont val="Noto Sans CJK SC"/>
        <family val="2"/>
      </rPr>
      <t xml:space="preserve">가족을 중심으로 떠오르는 사람들을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얼마나 가까운지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말도 할 수 있는지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가장 마음에 걸리는 한 사람에게만 별표를 달면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</si>
  <si>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곁의 사람들을 한 장에 그려 보면 지금 기대는 사람과 더 가까워지고 싶은 사람이 함께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사람이 적어도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</si>
  <si>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중요한 사람들의 지도</t>
    </r>
    <r>
      <rPr>
        <sz val="10"/>
        <rFont val="맑은 고딕"/>
        <family val="0"/>
        <charset val="1"/>
      </rPr>
      <t xml:space="preserve">(Interpersonal inventory - IPT, Weissman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</si>
  <si>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REL-HELP-L1-01</t>
  </si>
  <si>
    <t xml:space="preserve">혼자 안고 있지 않고 가볍게 이야기부터 꺼내기</t>
  </si>
  <si>
    <r>
      <rPr>
        <sz val="10"/>
        <rFont val="Noto Sans CJK SC"/>
        <family val="2"/>
      </rPr>
      <t xml:space="preserve">가족 일로 혼자 고민하던 것이 있다면 편한 가족 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이게 좀 마음에 걸려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정해 두지 않고 이야기를 여는 것까지가 목표입니다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</si>
  <si>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사이일수록 걱정을 끼칠까 봐 혼자 안고 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꺼내 보면 기대도 되는 사이라는 것을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</si>
  <si>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</t>
    </r>
  </si>
  <si>
    <t xml:space="preserve">NEW-REL-ASYNC-02</t>
  </si>
  <si>
    <t xml:space="preserve">함께한 기억 한 장면 전하기</t>
  </si>
  <si>
    <r>
      <rPr>
        <sz val="10"/>
        <rFont val="Noto Sans CJK SC"/>
        <family val="2"/>
      </rPr>
      <t xml:space="preserve">가족과 함께했던 좋은 기억 하나가 떠오르면 짧은 메시지로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곁들여도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</si>
  <si>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좋았던 장면을 함께 떠올리면 부탁이나 용건 없이도 마음이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연결이 쌓여 있어야 힘들 때 기대기도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</si>
  <si>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MCP:fit</t>
    </r>
  </si>
  <si>
    <t xml:space="preserve">10~15 · - · 8~10</t>
  </si>
  <si>
    <r>
      <rPr>
        <sz val="10"/>
        <rFont val="Noto Sans CJK SC"/>
        <family val="2"/>
      </rPr>
      <t xml:space="preserve">가족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적어 일반 관계 실천</t>
    </r>
    <r>
      <rPr>
        <sz val="10"/>
        <rFont val="맑은 고딕"/>
        <family val="0"/>
        <charset val="1"/>
      </rPr>
      <t xml:space="preserve">(REL)</t>
    </r>
    <r>
      <rPr>
        <sz val="10"/>
        <rFont val="Noto Sans CJK SC"/>
        <family val="2"/>
      </rPr>
      <t xml:space="preserve">을 가족 장면으로 맞춤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관계가 안전하지 않은 사용자 고려 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연락 권유 문장</t>
    </r>
    <r>
      <rPr>
        <sz val="10"/>
        <rFont val="맑은 고딕"/>
        <family val="0"/>
        <charset val="1"/>
      </rPr>
      <t xml:space="preserve">).</t>
    </r>
  </si>
  <si>
    <t xml:space="preserve">PRAC_LEAN_SOCIAL</t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</si>
  <si>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</si>
  <si>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THX-EFT-11</t>
  </si>
  <si>
    <t xml:space="preserve">힘들 때 기댈 곳과 응원받을 곳을 한 장에 적기</t>
  </si>
  <si>
    <r>
      <rPr>
        <sz val="10"/>
        <rFont val="Noto Sans CJK SC"/>
        <family val="2"/>
      </rPr>
      <t xml:space="preserve">가운데 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날 연락하면 마음이 놓이는 친구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걸 해 볼 때 응원해 줄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사람이 아니어도 마음이 놓이는 곳을 둘레에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빈칸은 앞으로 채워 갈 자리로 남겨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</si>
  <si>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사람이 있으면 더 잘 쉬고 더 멀리 가 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곳을 눈으로 확인해 두면 연락할 용기도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</si>
  <si>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안전한 피난처와 안전 기지</t>
    </r>
    <r>
      <rPr>
        <sz val="10"/>
        <rFont val="맑은 고딕"/>
        <family val="0"/>
        <charset val="1"/>
      </rPr>
      <t xml:space="preserve">(Safe haven &amp; secure base - Bowlby,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</si>
  <si>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SELF-HELP-L1-03</t>
  </si>
  <si>
    <t xml:space="preserve">혼자 끌어안지 않고 힘들다는 것부터 주변에 알리기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</si>
  <si>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지금 상태부터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</si>
  <si>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청하는 첫걸음은 힘들다는 걸 알리는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알고 있는 사람이 한 명만 있어도 마음이 덜 외로워져요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</si>
  <si>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</t>
    </r>
  </si>
  <si>
    <t xml:space="preserve">NEW-REL-ASYNC-01</t>
  </si>
  <si>
    <t xml:space="preserve">답장을 재촉하지 않는 안부 보내기</t>
  </si>
  <si>
    <r>
      <rPr>
        <sz val="10"/>
        <rFont val="Noto Sans CJK SC"/>
        <family val="2"/>
      </rPr>
      <t xml:space="preserve">오랜만에 떠오른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답장은 편할 때 해도 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말과 함께 가벼운 안부를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늦어도 기다리지 않는 것이 이 실천의 약속입니다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</si>
  <si>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부담 없는 안부는 관계의 끈을 느슨하게라도 이어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끈이 있어야 필요할 때 기대기도 편해요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</si>
  <si>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비동기 소통과 관계 유지</t>
    </r>
    <r>
      <rPr>
        <sz val="10"/>
        <rFont val="맑은 고딕"/>
        <family val="0"/>
        <charset val="1"/>
      </rPr>
      <t xml:space="preserve">(Asynchronous communication &amp; relationship maintenance)</t>
    </r>
  </si>
  <si>
    <t xml:space="preserve">5~10 · - · 8~10</t>
  </si>
  <si>
    <r>
      <rPr>
        <sz val="10"/>
        <rFont val="맑은 고딕"/>
        <family val="0"/>
        <charset val="1"/>
      </rPr>
      <t xml:space="preserve">THX-EFT-11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빈칸을 결핍으로 단정하지 않기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고립감이 깊으면 안전 규칙</t>
    </r>
    <r>
      <rPr>
        <sz val="10"/>
        <rFont val="맑은 고딕"/>
        <family val="0"/>
        <charset val="1"/>
      </rPr>
      <t xml:space="preserve">.</t>
    </r>
  </si>
  <si>
    <t xml:space="preserve">PRAC_LEAN_MONEY</t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</si>
  <si>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</si>
  <si>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SELF-HELP-L1-05</t>
  </si>
  <si>
    <r>
      <rPr>
        <sz val="10"/>
        <rFont val="Noto Sans CJK SC"/>
        <family val="2"/>
      </rPr>
      <t xml:space="preserve">누군가에게 말하기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상태를 정리해보기</t>
    </r>
  </si>
  <si>
    <r>
      <rPr>
        <sz val="10"/>
        <rFont val="Noto Sans CJK SC"/>
        <family val="2"/>
      </rPr>
      <t xml:space="preserve">돈이나 생활 문제로 마음이 무거울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말하기 전에 지금 걱정되는 것과 필요한 도움을 글로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덜 돼도 떠오르는 대로 쓰면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</si>
  <si>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걱정은 막연할수록 꺼내기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글로 먼저 정리해 두면 무엇을 누구에게 물어볼지가 보여요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</si>
  <si>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</t>
    </r>
  </si>
  <si>
    <t xml:space="preserve">REL-HELP-L1-04</t>
  </si>
  <si>
    <t xml:space="preserve">당사자가 아닌 사람에게 객관적 의견을 구해보기</t>
  </si>
  <si>
    <r>
      <rPr>
        <sz val="10"/>
        <rFont val="Noto Sans CJK SC"/>
        <family val="2"/>
      </rPr>
      <t xml:space="preserve">지출이나 생활비 고민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일과 직접 얽히지 않은 믿을 만한 사람에게 의견을 물어보세요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너라면 어떻게 하겠어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한마디면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</si>
  <si>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계산하면 걱정이 커지기 쉽지만 바깥의 눈은 의외로 담백한 답을 줄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문제도 기대어 풀 수 있다는 감각이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</si>
  <si>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</t>
    </r>
  </si>
  <si>
    <t xml:space="preserve">THX-CFT-01</t>
  </si>
  <si>
    <t xml:space="preserve">잠깐 숨을 천천히 늦춰보기</t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</si>
  <si>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괜찮으니 숨이 오가는 감각에만 살짝 주의를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</si>
  <si>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긴장하면 숫자도 더 무섭게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늦추는 것만으로도 마음이 조금 가라앉아 차분히 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</si>
  <si>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 리듬 호흡</t>
    </r>
    <r>
      <rPr>
        <sz val="10"/>
        <rFont val="맑은 고딕"/>
        <family val="0"/>
        <charset val="1"/>
      </rPr>
      <t xml:space="preserve">(Soothing rhythm breathing - CFT, Gilbert)</t>
    </r>
  </si>
  <si>
    <t xml:space="preserve">- · - · 1~2</t>
  </si>
  <si>
    <r>
      <rPr>
        <sz val="10"/>
        <rFont val="Noto Sans CJK SC"/>
        <family val="2"/>
      </rPr>
      <t xml:space="preserve">재정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거의 없어 일반 도움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호흡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 상담 연계 문구 검토</t>
    </r>
    <r>
      <rPr>
        <sz val="10"/>
        <rFont val="맑은 고딕"/>
        <family val="0"/>
        <charset val="1"/>
      </rPr>
      <t xml:space="preserve">. THX-CFT-01: </t>
    </r>
    <r>
      <rPr>
        <sz val="10"/>
        <rFont val="Noto Sans CJK SC"/>
        <family val="2"/>
      </rPr>
      <t xml:space="preserve">의학적 효과 단정 금지</t>
    </r>
    <r>
      <rPr>
        <sz val="10"/>
        <rFont val="맑은 고딕"/>
        <family val="0"/>
        <charset val="1"/>
      </rPr>
      <t xml:space="preserve">.</t>
    </r>
  </si>
  <si>
    <t xml:space="preserve">PRAC_TRUST_CAREER</t>
  </si>
  <si>
    <t xml:space="preserve">NEW-WORK-TRANSITION-05</t>
  </si>
  <si>
    <r>
      <rPr>
        <sz val="10"/>
        <rFont val="Noto Sans CJK SC"/>
        <family val="2"/>
      </rPr>
      <t xml:space="preserve">당장 해결하려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</si>
  <si>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Noto Sans CJK SC"/>
        <family val="2"/>
      </rPr>
      <t xml:space="preserve">퇴근 무렵까지 마음에 남은 업무 걱정은 억지로 지금 해결하려 하지 말고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걱정이 아직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짧게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다시 확인할 시간만 정해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</si>
  <si>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이름을 붙이면 그 감정과 조금 거리가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확인할 때를 정해 두면 그 전까지는 마음을 놓아도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</si>
  <si>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 · CBT:fit</t>
    </r>
  </si>
  <si>
    <t xml:space="preserve">NEW-WORK-FOCUS-07</t>
  </si>
  <si>
    <t xml:space="preserve">미완료 업무에 다음 행동 표시하기</t>
  </si>
  <si>
    <r>
      <rPr>
        <sz val="10"/>
        <rFont val="Noto Sans CJK SC"/>
        <family val="2"/>
      </rPr>
      <t xml:space="preserve">오늘 끝내지 못한 일에는 내일 가장 먼저 할 행동 하나만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자료 열어 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작을수록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</si>
  <si>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끝내지 못한 일은 머릿속에 계속 맴돌기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걸음을 적어 두면 머리가 그 일을 잠시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</si>
  <si>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 - </t>
    </r>
    <r>
      <rPr>
        <sz val="10"/>
        <rFont val="Noto Sans CJK SC"/>
        <family val="2"/>
      </rPr>
      <t xml:space="preserve">미완료 과제의 인지적 잔류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</si>
  <si>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WORK-BODY-L1-02</t>
  </si>
  <si>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어깨 등 뭉친 부위를 짧게 풀어주기</t>
    </r>
  </si>
  <si>
    <r>
      <rPr>
        <sz val="10"/>
        <rFont val="Noto Sans CJK SC"/>
        <family val="2"/>
      </rPr>
      <t xml:space="preserve">일하다 긴장이 느껴질 때 어깨를 귀 쪽으로 올렸다가 툭 떨어뜨리고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목을 천천히 좌우로 기울여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자리에서 잠깐이면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</si>
  <si>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많을 때 몸은 먼저 굳어 있곤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몸의 긴장을 풀어 주면 마음도 함께 한숨 돌릴 수 있어요</t>
    </r>
    <r>
      <rPr>
        <sz val="10"/>
        <rFont val="맑은 고딕"/>
        <family val="0"/>
        <charset val="1"/>
      </rPr>
      <t xml:space="preserve">.</t>
    </r>
  </si>
  <si>
    <t xml:space="preserve">8~10 · 8~10 · -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</si>
  <si>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WORK-BODY-L1-02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설명이 한 줄뿐이라 방법을 구체화함</t>
    </r>
    <r>
      <rPr>
        <sz val="10"/>
        <rFont val="맑은 고딕"/>
        <family val="0"/>
        <charset val="1"/>
      </rPr>
      <t xml:space="preserve">.</t>
    </r>
  </si>
  <si>
    <t xml:space="preserve">PRAC_TRUST_GROWTH</t>
  </si>
  <si>
    <t xml:space="preserve">THX-WBT-13</t>
  </si>
  <si>
    <t xml:space="preserve">막막한 일과 예전에 해낸 일을 한 줄로 잇기</t>
  </si>
  <si>
    <r>
      <rPr>
        <sz val="10"/>
        <rFont val="Noto Sans CJK SC"/>
        <family val="2"/>
      </rPr>
      <t xml:space="preserve">앞두고 막막한 준비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예전에 비슷하게 어려웠지만 결국 해낸 일과 그때 쓴 방법을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이번에 실제로 쓸 수 있는 부분 하나만 골라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</si>
  <si>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일이 낯설게만 느껴져도 예전에 해낸 일과 닮은 데가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경험을 떠올리면 나를 믿을 근거가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</si>
  <si>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경험 전이</t>
    </r>
    <r>
      <rPr>
        <sz val="10"/>
        <rFont val="맑은 고딕"/>
        <family val="0"/>
        <charset val="1"/>
      </rPr>
      <t xml:space="preserve">(Transfer of experiences - WBT, Fava) / </t>
    </r>
    <r>
      <rPr>
        <sz val="10"/>
        <rFont val="Noto Sans CJK SC"/>
        <family val="2"/>
      </rPr>
      <t xml:space="preserve">자기효능감</t>
    </r>
    <r>
      <rPr>
        <sz val="10"/>
        <rFont val="맑은 고딕"/>
        <family val="0"/>
        <charset val="1"/>
      </rPr>
      <t xml:space="preserve">(Self-efficacy - Bandura)</t>
    </r>
  </si>
  <si>
    <t xml:space="preserve">THX-CBT-24</t>
  </si>
  <si>
    <t xml:space="preserve">해낼 수 있겠다 싶을 만큼 계획 크기 줄이기</t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</si>
  <si>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고치라는 신호로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</si>
  <si>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계획이 너무 크면 못 한 날 자책만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해낼 만한 크기로 줄여 지켜 내는 경험이 쌓이면 나에 대한 믿음도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</si>
  <si>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해볼 것의 크기 정하기</t>
    </r>
    <r>
      <rPr>
        <sz val="10"/>
        <rFont val="맑은 고딕"/>
        <family val="0"/>
        <charset val="1"/>
      </rPr>
      <t xml:space="preserve">(Homework principles - CBT, Beck)</t>
    </r>
  </si>
  <si>
    <t xml:space="preserve">SELF-MIND-L1-03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</si>
  <si>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 여기로 돌리기</t>
    </r>
  </si>
  <si>
    <r>
      <rPr>
        <sz val="10"/>
        <rFont val="Noto Sans CJK SC"/>
        <family val="2"/>
      </rPr>
      <t xml:space="preserve">공부를 시작하기 전이나 불안이 올라올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것 몇 가지와 손에 닿는 것 몇 가지를 차례로 속으로 짚어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발바닥이 바닥에 닿는 느낌으로 마무리해도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</si>
  <si>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앞날 걱정에 머리가 바쁠 때 감각은 마음을 지금 여기로 데려와요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할 수 있는 일로 돌아오기도 한결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</si>
  <si>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접지 기법</t>
    </r>
    <r>
      <rPr>
        <sz val="10"/>
        <rFont val="맑은 고딕"/>
        <family val="0"/>
        <charset val="1"/>
      </rPr>
      <t xml:space="preserve">(5-4-3-2-1 grounding technique)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</t>
    </r>
  </si>
  <si>
    <t xml:space="preserve">5~10 · 3~5 · -</t>
  </si>
  <si>
    <r>
      <rPr>
        <sz val="10"/>
        <rFont val="맑은 고딕"/>
        <family val="0"/>
        <charset val="1"/>
      </rPr>
      <t xml:space="preserve">THX-CBT-24 </t>
    </r>
    <r>
      <rPr>
        <sz val="10"/>
        <rFont val="Noto Sans CJK SC"/>
        <family val="2"/>
      </rPr>
      <t xml:space="preserve">원문의 퍼센트 매기기는 숫자 금지로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마음속으로 가늠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SELF-MIND-L1-03 </t>
    </r>
    <r>
      <rPr>
        <sz val="10"/>
        <rFont val="Noto Sans CJK SC"/>
        <family val="2"/>
      </rPr>
      <t xml:space="preserve">제목의 개수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다섯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넷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뺌</t>
    </r>
    <r>
      <rPr>
        <sz val="10"/>
        <rFont val="맑은 고딕"/>
        <family val="0"/>
        <charset val="1"/>
      </rPr>
      <t xml:space="preserve">.</t>
    </r>
  </si>
  <si>
    <t xml:space="preserve">PRAC_TRUST_LOVE</t>
  </si>
  <si>
    <t xml:space="preserve">THX-EFT-14</t>
  </si>
  <si>
    <t xml:space="preserve">알아가는 사람이 반응해준 순간과 조마조마했던 순간 적기</t>
  </si>
  <si>
    <r>
      <rPr>
        <sz val="10"/>
        <rFont val="Noto Sans CJK SC"/>
        <family val="2"/>
      </rPr>
      <t xml:space="preserve">요즘 알아가거나 만나는 사람이 있다면 최근을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연락이나 이야기에 반응해 줬던 순간과 조마조마했던 순간을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판정하는 시험이 아니라 나에게 편안한 관계의 모습을 알아보는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</si>
  <si>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안정감은 설렘의 크기보다 꾸준히 반응해 주는 순간에서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반응해 준 순간을 눈으로 확인하면 불안한 해석에 덜 휩쓸립니다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</si>
  <si>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새 관계의 반응성</t>
    </r>
    <r>
      <rPr>
        <sz val="10"/>
        <rFont val="맑은 고딕"/>
        <family val="0"/>
        <charset val="1"/>
      </rPr>
      <t xml:space="preserve">(Responsiveness - EFT, Johnson / Hazan &amp; Shaver)</t>
    </r>
  </si>
  <si>
    <t xml:space="preserve">NEW-COUPLE-CHECKIN-05</t>
  </si>
  <si>
    <t xml:space="preserve">다음 주의 가장 바쁜 날 알려주기</t>
  </si>
  <si>
    <r>
      <rPr>
        <sz val="10"/>
        <rFont val="Noto Sans CJK SC"/>
        <family val="2"/>
      </rPr>
      <t xml:space="preserve">서로 바쁠 것 같은 날을 미리 알려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연락이 뜸해도 괜찮은지 기대를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대화로도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</si>
  <si>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연락이 줄어든 이유를 모르면 마음이 나쁜 쪽으로 해석하기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알면 기다리는 시간이 훨씬 편안해져요</t>
    </r>
    <r>
      <rPr>
        <sz val="10"/>
        <rFont val="맑은 고딕"/>
        <family val="0"/>
        <charset val="1"/>
      </rPr>
      <t xml:space="preserve">.</t>
    </r>
  </si>
  <si>
    <t xml:space="preserve">THX-CFT-15</t>
  </si>
  <si>
    <t xml:space="preserve">마음이 놓이는 장소 하나를 감각으로 채워두기</t>
  </si>
  <si>
    <r>
      <rPr>
        <sz val="10"/>
        <rFont val="Noto Sans CJK SC"/>
        <family val="2"/>
      </rPr>
      <t xml:space="preserve">편안했던 장소나 순간 하나를 정해 보이는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냄새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촉감을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답장을 기다리며 마음이 불안할 때 잠깐 떠올릴 수 있게 짧게 줄여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</si>
  <si>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쉴 수 있는 곳을 정해 두면 불안이 올라올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</si>
  <si>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안전한 장소 이미지</t>
    </r>
    <r>
      <rPr>
        <sz val="10"/>
        <rFont val="맑은 고딕"/>
        <family val="0"/>
        <charset val="1"/>
      </rPr>
      <t xml:space="preserve">(Safe place imagery - CFT)</t>
    </r>
  </si>
  <si>
    <t xml:space="preserve">5 · 8~10 · 5</t>
  </si>
  <si>
    <r>
      <rPr>
        <sz val="10"/>
        <rFont val="맑은 고딕"/>
        <family val="0"/>
        <charset val="1"/>
      </rPr>
      <t xml:space="preserve">THX-EFT-14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초기용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끝내기 권유로 쓰지 않기</t>
    </r>
    <r>
      <rPr>
        <sz val="10"/>
        <rFont val="맑은 고딕"/>
        <family val="0"/>
        <charset val="1"/>
      </rPr>
      <t xml:space="preserve">.</t>
    </r>
  </si>
  <si>
    <t xml:space="preserve">PRAC_TRUST_FAMILY</t>
  </si>
  <si>
    <t xml:space="preserve">THX-REBT-21</t>
  </si>
  <si>
    <r>
      <rPr>
        <sz val="10"/>
        <rFont val="Noto Sans CJK SC"/>
        <family val="2"/>
      </rPr>
      <t xml:space="preserve">바꿀 수 없는 조건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그래도 할 수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적기</t>
    </r>
  </si>
  <si>
    <r>
      <rPr>
        <sz val="10"/>
        <rFont val="Noto Sans CJK SC"/>
        <family val="2"/>
      </rPr>
      <t xml:space="preserve">가족 일 중 지금 당장 바꿀 수 없는 조건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옆에 그래도 내가 할 수 있는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있는 것까지 포기하자는 뜻은 아닙니다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</si>
  <si>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걱정은 내 힘 밖의 일까지 끌어안기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수 있는 한 가지에 힘을 모으면 나머지는 조금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</si>
  <si>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무조건적 삶 수용</t>
    </r>
    <r>
      <rPr>
        <sz val="10"/>
        <rFont val="맑은 고딕"/>
        <family val="0"/>
        <charset val="1"/>
      </rPr>
      <t xml:space="preserve">(Unconditional life-acceptance - REBT, Ellis)</t>
    </r>
  </si>
  <si>
    <t xml:space="preserve">REL-BODY-L2-02</t>
  </si>
  <si>
    <t xml:space="preserve">즉흥이 아닌 정해진 만남으로 관계를 이어가기</t>
  </si>
  <si>
    <r>
      <rPr>
        <sz val="10"/>
        <rFont val="Noto Sans CJK SC"/>
        <family val="2"/>
      </rPr>
      <t xml:space="preserve">가족과의 통화나 만남을 그때그때 정하기보다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주말 저녁 통화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정해 둔 날로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길지 않아도 꾸준한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</si>
  <si>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언제 연락이 닿을지 알면 사이사이 걱정이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예측할 수 있는 연결은 그 자체로 안정감을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</si>
  <si>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단순노출효과</t>
    </r>
    <r>
      <rPr>
        <sz val="10"/>
        <rFont val="맑은 고딕"/>
        <family val="0"/>
        <charset val="1"/>
      </rPr>
      <t xml:space="preserve">(Mere exposure effect - Zajonc)</t>
    </r>
  </si>
  <si>
    <t xml:space="preserve">NEW-SELF-SENSE-08</t>
  </si>
  <si>
    <t xml:space="preserve">내 방에서 가장 아늑한 자리 찾기</t>
  </si>
  <si>
    <r>
      <rPr>
        <sz val="10"/>
        <rFont val="Noto Sans CJK SC"/>
        <family val="2"/>
      </rPr>
      <t xml:space="preserve">집 안에서 가장 편안한 자리를 찾아 담요나 쿠션 같은 작은 물건 하나로 더 아늑하게 꾸며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복잡한 날 그 자리에 잠깐 앉아 있기만 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</si>
  <si>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편히 머무는 자리가 있으면 마음도 기댈 곳이 생겨요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일로 흔들릴 때 돌아올 나만의 쉼터가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</si>
  <si>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 · ST:fit</t>
    </r>
  </si>
  <si>
    <t xml:space="preserve">5 · - · 8~10</t>
  </si>
  <si>
    <r>
      <rPr>
        <sz val="10"/>
        <rFont val="맑은 고딕"/>
        <family val="0"/>
        <charset val="1"/>
      </rPr>
      <t xml:space="preserve">THX-REBT-21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부당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상황을 받아들이라는 뜻으로 쓰지 않음</t>
    </r>
    <r>
      <rPr>
        <sz val="10"/>
        <rFont val="맑은 고딕"/>
        <family val="0"/>
        <charset val="1"/>
      </rPr>
      <t xml:space="preserve">. REL-BODY-L2-02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.</t>
    </r>
  </si>
  <si>
    <t xml:space="preserve">PRAC_TRUST_SOCIAL</t>
  </si>
  <si>
    <t xml:space="preserve">REL-MIND-L1-02</t>
  </si>
  <si>
    <t xml:space="preserve">확신하기 전에 다른 가능성을 생각해보기</t>
  </si>
  <si>
    <r>
      <rPr>
        <sz val="10"/>
        <rFont val="Noto Sans CJK SC"/>
        <family val="2"/>
      </rPr>
      <t xml:space="preserve">모임 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싫어하나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같은 생각이 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확신하기 전에 그 장면을 설명할 다른 가능성 두 가지를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피곤했을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일에 정신이 팔렸을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</si>
  <si>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마음은 가장 나쁜 해석을 먼저 붙잡기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가능성을 열어 두기만 해도 관계를 믿을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</si>
  <si>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인지적 종결 욕구</t>
    </r>
    <r>
      <rPr>
        <sz val="10"/>
        <rFont val="맑은 고딕"/>
        <family val="0"/>
        <charset val="1"/>
      </rPr>
      <t xml:space="preserve">(Need for cognitive closure - Kruglanski)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 · RBT:fit</t>
    </r>
  </si>
  <si>
    <t xml:space="preserve">NEW-REL-NEW-06</t>
  </si>
  <si>
    <t xml:space="preserve">새로운 모임에 가기 전 귀가 계획 세우기</t>
  </si>
  <si>
    <r>
      <rPr>
        <sz val="10"/>
        <rFont val="Noto Sans CJK SC"/>
        <family val="2"/>
      </rPr>
      <t xml:space="preserve">처음 가는 모임이나 행사라면 집에 돌아갈 방법과 나올 시간을 미리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정한 시간보다 일찍 나와도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</si>
  <si>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끝이 보이면 낯선 자리도 덜 막막합니다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안전한 틀이 있으면 그 안에서 마음을 놓기 쉬워요</t>
    </r>
    <r>
      <rPr>
        <sz val="10"/>
        <rFont val="맑은 고딕"/>
        <family val="0"/>
        <charset val="1"/>
      </rPr>
      <t xml:space="preserve">.</t>
    </r>
  </si>
  <si>
    <t xml:space="preserve">NEW-REL-SHARED-09</t>
  </si>
  <si>
    <t xml:space="preserve">모임 후 좋았던 대화 한 가지 기억하기</t>
  </si>
  <si>
    <r>
      <rPr>
        <sz val="10"/>
        <rFont val="Noto Sans CJK SC"/>
        <family val="2"/>
      </rPr>
      <t xml:space="preserve">사람들을 만난 뒤 특히 기분 좋았던 대화 주제 하나를 메모해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아쉬운 장면보다 이것을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</si>
  <si>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 끝나면 아쉬웠던 장면만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좋았던 순간을 기록해 두면 사람들 사이에서 편안했던 기억도 함께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</si>
  <si>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</si>
  <si>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- · 8~10 · 8~10</t>
  </si>
  <si>
    <t xml:space="preserve">PRAC_TRUST_MONEY</t>
  </si>
  <si>
    <t xml:space="preserve">THX-CBT-15</t>
  </si>
  <si>
    <t xml:space="preserve">머릿속 고민을 다 꺼낸 뒤 가장 큰 두 가지만 고르기</t>
  </si>
  <si>
    <r>
      <rPr>
        <sz val="10"/>
        <rFont val="Noto Sans CJK SC"/>
        <family val="2"/>
      </rPr>
      <t xml:space="preserve">돈과 생활에 관해 마음을 무겁게 하는 일을 생각나는 대로 모두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옮겨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</si>
  <si>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한꺼번에 몰리면 모든 게 다 급해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두 가지만 남기면 나머지는 잠시 내려놓을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</si>
  <si>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문제 목록</t>
    </r>
    <r>
      <rPr>
        <sz val="10"/>
        <rFont val="맑은 고딕"/>
        <family val="0"/>
        <charset val="1"/>
      </rPr>
      <t xml:space="preserve">(Problem list - CBT, Beck)</t>
    </r>
  </si>
  <si>
    <t xml:space="preserve">THX-CBT-17</t>
  </si>
  <si>
    <t xml:space="preserve">걱정이 끼어들 때 하던 일의 한 지점으로 눈 돌리기</t>
  </si>
  <si>
    <r>
      <rPr>
        <sz val="10"/>
        <rFont val="Noto Sans CJK SC"/>
        <family val="2"/>
      </rPr>
      <t xml:space="preserve">일하거나 쉬는 중에 돈 걱정이 올라와 잔고를 확인하고 싶어지면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지나가는 중이네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그대로 둔 채 하던 일의 구체적인 한 곳으로 눈을 옮깁니다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</si>
  <si>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걱정과 싸우지 않아도 하던 일은 이어 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조금 미뤄 보는 경험이 쌓이면 마음이 쫓기는 느낌도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</si>
  <si>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재초점</t>
    </r>
    <r>
      <rPr>
        <sz val="10"/>
        <rFont val="맑은 고딕"/>
        <family val="0"/>
        <charset val="1"/>
      </rPr>
      <t xml:space="preserve">(Refocusing - CBT, Beck)</t>
    </r>
  </si>
  <si>
    <t xml:space="preserve">SELF-CARE-L2-02</t>
  </si>
  <si>
    <t xml:space="preserve">매일 비슷한 시간에 자고 일어나는 리듬을 만들기</t>
  </si>
  <si>
    <r>
      <rPr>
        <sz val="10"/>
        <rFont val="Noto Sans CJK SC"/>
        <family val="2"/>
      </rPr>
      <t xml:space="preserve">이번 주에는 잠드는 시간과 일어나는 시간을 비슷하게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주말에도 크게 벗어나지 않는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</si>
  <si>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문제처럼 당장 바꾸기 어려운 걱정이 있을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리듬은 내가 지킬 수 있는 안정의 바탕이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몸이 안정되면 생각도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</si>
  <si>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일주기 리듬과 수면 위생</t>
    </r>
    <r>
      <rPr>
        <sz val="10"/>
        <rFont val="맑은 고딕"/>
        <family val="0"/>
        <charset val="1"/>
      </rPr>
      <t xml:space="preserve">(Circadian rhythm/Sleep hygiene)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</t>
    </r>
  </si>
  <si>
    <t xml:space="preserve">5~10 · 1~2 · -</t>
  </si>
  <si>
    <r>
      <rPr>
        <sz val="10"/>
        <rFont val="Noto Sans CJK SC"/>
        <family val="2"/>
      </rPr>
      <t xml:space="preserve">재정 전용 실천 부족 — 걱정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돌리기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리듬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THX-CBT-17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공황 증상이 심하면 임상 연계</t>
    </r>
    <r>
      <rPr>
        <sz val="10"/>
        <rFont val="맑은 고딕"/>
        <family val="0"/>
        <charset val="1"/>
      </rPr>
      <t xml:space="preserve">(DB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 안내 검토</t>
    </r>
    <r>
      <rPr>
        <sz val="10"/>
        <rFont val="맑은 고딕"/>
        <family val="0"/>
        <charset val="1"/>
      </rPr>
      <t xml:space="preserve">.</t>
    </r>
  </si>
  <si>
    <t xml:space="preserve">PRAC_BOUND_CAREER</t>
  </si>
  <si>
    <t xml:space="preserve">NEW-WORK-CONTEXT-06</t>
  </si>
  <si>
    <t xml:space="preserve">내가 도와줄 수 있는 범위 구체화하기</t>
  </si>
  <si>
    <r>
      <rPr>
        <sz val="10"/>
        <rFont val="Noto Sans CJK SC"/>
        <family val="2"/>
      </rPr>
      <t xml:space="preserve">새로운 요청을 받으면 바로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하기 전에 지금 가능한 부분과 어려운 부분을 나눠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이번 주에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다음 주가 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말해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</si>
  <si>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받거나 다 거절하는 것 말고도 선택지가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범위를 분명히 하면 동료도 계획을 세우기 쉬워집니다</t>
    </r>
    <r>
      <rPr>
        <sz val="10"/>
        <rFont val="맑은 고딕"/>
        <family val="0"/>
        <charset val="1"/>
      </rPr>
      <t xml:space="preserve">.</t>
    </r>
  </si>
  <si>
    <t xml:space="preserve">NEW-WORK-FOCUS-03</t>
  </si>
  <si>
    <t xml:space="preserve">회의 없는 짧은 시간 직접 확보하기</t>
  </si>
  <si>
    <r>
      <rPr>
        <sz val="10"/>
        <rFont val="Noto Sans CJK SC"/>
        <family val="2"/>
      </rPr>
      <t xml:space="preserve">일정표에 짧은 집중 시간을 하나 막아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그동안에는 한 가지 작업만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이름을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집중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적어 두면 지키기가 더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</si>
  <si>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지키는 일도 경계를 세우는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시간이 있으면 쏟아지는 요청 속에서도 숨 쉴 틈이 생겨요</t>
    </r>
    <r>
      <rPr>
        <sz val="10"/>
        <rFont val="맑은 고딕"/>
        <family val="0"/>
        <charset val="1"/>
      </rPr>
      <t xml:space="preserve">.</t>
    </r>
  </si>
  <si>
    <t xml:space="preserve">NEW-WORK-TRANSITION-01</t>
  </si>
  <si>
    <t xml:space="preserve">퇴근을 알리는 마지막 파일 닫기</t>
  </si>
  <si>
    <r>
      <rPr>
        <sz val="10"/>
        <rFont val="Noto Sans CJK SC"/>
        <family val="2"/>
      </rPr>
      <t xml:space="preserve">업무를 마칠 때 작업 파일을 정리하고 내일 첫 행동만 남겨 둔 뒤 창을 모두 닫아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동작을 퇴근 신호로 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</si>
  <si>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쉼 사이에 분명한 선이 있으면 퇴근 뒤에도 일이 덜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끝을 내가 정하는 작은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</si>
  <si>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effect)</t>
    </r>
  </si>
  <si>
    <t xml:space="preserve">8~10 · 8~10 · 8~10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</si>
  <si>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NEW-WORK-FOCUS-03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짧은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</si>
  <si>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PRAC_BOUND_GROWTH</t>
  </si>
  <si>
    <t xml:space="preserve">THX-RBT-15</t>
  </si>
  <si>
    <r>
      <rPr>
        <sz val="10"/>
        <rFont val="Noto Sans CJK SC"/>
        <family val="2"/>
      </rPr>
      <t xml:space="preserve">붙들고 있는 목표에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</si>
  <si>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Noto Sans CJK SC"/>
        <family val="2"/>
      </rPr>
      <t xml:space="preserve">요즘 마음을 쓰는 진로 목표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 부모님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·SNS·</t>
    </r>
    <r>
      <rPr>
        <sz val="10"/>
        <rFont val="Noto Sans CJK SC"/>
        <family val="2"/>
      </rPr>
      <t xml:space="preserve">나 중에서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이 정도면 충분하다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</si>
  <si>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기준 사이에 선이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</si>
  <si>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좋은 결과의 기준은 스스로 정한다</t>
    </r>
    <r>
      <rPr>
        <sz val="10"/>
        <rFont val="맑은 고딕"/>
        <family val="0"/>
        <charset val="1"/>
      </rPr>
      <t xml:space="preserve">(Goals set by the client - RBT, Maultsby)</t>
    </r>
  </si>
  <si>
    <t xml:space="preserve">SELF-CARE-L1-04</t>
  </si>
  <si>
    <t xml:space="preserve">잠깐이라도 방해받지 않는 시간을 확보하기</t>
  </si>
  <si>
    <r>
      <rPr>
        <sz val="10"/>
        <rFont val="Noto Sans CJK SC"/>
        <family val="2"/>
      </rPr>
      <t xml:space="preserve">공부나 자기계발을 하는 동안 휴대폰을 멀리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사는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시간만은 방해하지 말아 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짧아도 온전히 지켜지는 시간이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</si>
  <si>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지켜 달라고 말하는 것도 선을 긋는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방해받지 않는 시간이 쌓이면 나와의 약속을 믿을 수 있어요</t>
    </r>
    <r>
      <rPr>
        <sz val="10"/>
        <rFont val="맑은 고딕"/>
        <family val="0"/>
        <charset val="1"/>
      </rPr>
      <t xml:space="preserve">.</t>
    </r>
  </si>
  <si>
    <t xml:space="preserve">REL-MIND-L2-04</t>
  </si>
  <si>
    <t xml:space="preserve">타인과 나를 비교하는 습관을 의식적으로 줄이기</t>
  </si>
  <si>
    <r>
      <rPr>
        <sz val="10"/>
        <rFont val="Noto Sans CJK SC"/>
        <family val="2"/>
      </rPr>
      <t xml:space="preserve">남의 성과가 자주 보이는 앱이나 계정을 하나 골라 쉬는 날을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비교가 시작되면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비교하고 있네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알아차리는 것까지가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</si>
  <si>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비교는 남의 속도를 내 기준으로 끌어오기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들어오는 정보에 선을 그으면 내 속도를 지키기가 한결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</si>
  <si>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</si>
  <si>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3~5 · 10~15 · -</t>
  </si>
  <si>
    <r>
      <rPr>
        <sz val="10"/>
        <rFont val="맑은 고딕"/>
        <family val="0"/>
        <charset val="1"/>
      </rPr>
      <t xml:space="preserve">SELF-CARE-L1-04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REL-MIND-L2-04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</si>
  <si>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PRAC_BOUND_LOVE</t>
  </si>
  <si>
    <t xml:space="preserve">NEW-REL-BOUNDARY-10</t>
  </si>
  <si>
    <t xml:space="preserve">연락 빈도에 대한 내 선호 적어두기</t>
  </si>
  <si>
    <r>
      <rPr>
        <sz val="10"/>
        <rFont val="Noto Sans CJK SC"/>
        <family val="2"/>
      </rPr>
      <t xml:space="preserve">연인이나 알아가는 사람과 연락할 때 편한 주기와 부담스러운 상황을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필요할 때 꺼낼 수 있게 다정하게 설명할 문장도 하나 만들어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</si>
  <si>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리듬을 먼저 알아야 상대에게도 부드럽게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문장이 준비돼 있으면 서운함이 쌓이기 전에 말을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</si>
  <si>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training)</t>
    </r>
  </si>
  <si>
    <t xml:space="preserve">NEW-COUPLE-FUTURE-02</t>
  </si>
  <si>
    <t xml:space="preserve">이번 달 각자 지키고 싶은 개인 일정 공유하기</t>
  </si>
  <si>
    <r>
      <rPr>
        <sz val="10"/>
        <rFont val="Noto Sans CJK SC"/>
        <family val="2"/>
      </rPr>
      <t xml:space="preserve">함께하는 일정 말고 각자 중요하게 여기는 시간을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저녁처럼 무엇이든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</si>
  <si>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각자의 시간을 미리 알면 서로 서운해할 일이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사이에서도 나를 지키는 선은 관계를 오래 편안하게 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</si>
  <si>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자기분화</t>
    </r>
    <r>
      <rPr>
        <sz val="10"/>
        <rFont val="맑은 고딕"/>
        <family val="0"/>
        <charset val="1"/>
      </rPr>
      <t xml:space="preserve">(Differentiation of self - Bowen)</t>
    </r>
  </si>
  <si>
    <t xml:space="preserve">REL-CARE-L2-02</t>
  </si>
  <si>
    <t xml:space="preserve">관계와 별개로 나를 채우는 활동을 이어가기</t>
  </si>
  <si>
    <r>
      <rPr>
        <sz val="10"/>
        <rFont val="Noto Sans CJK SC"/>
        <family val="2"/>
      </rPr>
      <t xml:space="preserve">연애와 상관없이 나를 즐겁게 하는 활동 하나를 정해 이번 주에도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취미든 친구와의 약속이든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</si>
  <si>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 밖에도 나를 채우는 곳이 있으면 상대에게 모든 걸 기대지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여유가 건강한 선을 지키는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</si>
  <si>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NEW-REL-BOUNDARY-10, REL-CARE-L2-02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</si>
  <si>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PRAC_BOUND_FAMILY</t>
  </si>
  <si>
    <t xml:space="preserve">THX-MCP-08</t>
  </si>
  <si>
    <r>
      <rPr>
        <sz val="10"/>
        <rFont val="Noto Sans CJK SC"/>
        <family val="2"/>
      </rPr>
      <t xml:space="preserve">챙기는 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고른 것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나누고 하나 덜어보기</t>
    </r>
  </si>
  <si>
    <r>
      <rPr>
        <sz val="10"/>
        <rFont val="Noto Sans CJK SC"/>
        <family val="2"/>
      </rPr>
      <t xml:space="preserve">요즘 가족 안에서 챙기고 있는 사람과 일을 한 장에 적고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내가 고른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 가까운 쪽을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떠맡은 것 중 하나는 이번 주에 나누거나 줄여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</si>
  <si>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챙기는 일에는 내가 아끼는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고른 것은 지키고 떠맡은 것은 덜어 내야 오래 다정할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</si>
  <si>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(Responsibility 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Breitbart; Frankl)</t>
    </r>
  </si>
  <si>
    <t xml:space="preserve">NEW-REL-BOUNDARY-06</t>
  </si>
  <si>
    <t xml:space="preserve">불편한 농담에 내 마음 짧게 표현하기</t>
  </si>
  <si>
    <r>
      <rPr>
        <sz val="10"/>
        <rFont val="Noto Sans CJK SC"/>
        <family val="2"/>
      </rPr>
      <t xml:space="preserve">가족 모임에서 불편한 농담이나 질문을 들으면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분위기에서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좀 불편해요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문장 하나를 정해 두면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</si>
  <si>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가족이라도 듣기 힘든 말에는 선을 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차분하게 말하면 관계를 해치지 않으면서 나를 지킬 수 있습니다</t>
    </r>
    <r>
      <rPr>
        <sz val="10"/>
        <rFont val="맑은 고딕"/>
        <family val="0"/>
        <charset val="1"/>
      </rPr>
      <t xml:space="preserve">.</t>
    </r>
  </si>
  <si>
    <t xml:space="preserve">SELF-BODY-L1-01</t>
  </si>
  <si>
    <t xml:space="preserve">집 앞을 잠깐 걸으며 기분 전환하기</t>
  </si>
  <si>
    <r>
      <rPr>
        <sz val="10"/>
        <rFont val="Noto Sans CJK SC"/>
        <family val="2"/>
      </rPr>
      <t xml:space="preserve">가족과 함께 있는 시간이 길어져 마음이 답답해지면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바람 쐬고 오겠다고 말하고 집 앞을 걸어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돌아오는 시간도 미리 정해 두면 마음이 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</si>
  <si>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잠시 떨어져 있는 것도 관계를 지키는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걷는 동안 몸이 풀리면 다시 돌아가 대화할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</si>
  <si>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운동과 기분 효과</t>
    </r>
    <r>
      <rPr>
        <sz val="10"/>
        <rFont val="맑은 고딕"/>
        <family val="0"/>
        <charset val="1"/>
      </rPr>
      <t xml:space="preserve">(Exercise-mood effect)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</si>
  <si>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5~10 · 8~10 · 10~15</t>
  </si>
  <si>
    <r>
      <rPr>
        <sz val="10"/>
        <rFont val="맑은 고딕"/>
        <family val="0"/>
        <charset val="1"/>
      </rPr>
      <t xml:space="preserve">THX-MCP-08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책임을 늘리는 말로 들리지 않게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 소진이 크면 공감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 자원 먼저</t>
    </r>
    <r>
      <rPr>
        <sz val="10"/>
        <rFont val="맑은 고딕"/>
        <family val="0"/>
        <charset val="1"/>
      </rPr>
      <t xml:space="preserve">. NEW-REL-BOUNDARY-06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농담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가족의 곤란한 질문까지 넓혀 맞춤</t>
    </r>
    <r>
      <rPr>
        <sz val="10"/>
        <rFont val="맑은 고딕"/>
        <family val="0"/>
        <charset val="1"/>
      </rPr>
      <t xml:space="preserve">. SELF-BODY-L1-01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</si>
  <si>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PRAC_BOUND_SOCIAL</t>
  </si>
  <si>
    <t xml:space="preserve">NEW-SELF-VALUES-03</t>
  </si>
  <si>
    <t xml:space="preserve">최근 거절해서 잘했다고 느낀 일 떠올리기</t>
  </si>
  <si>
    <r>
      <rPr>
        <sz val="10"/>
        <rFont val="Noto Sans CJK SC"/>
        <family val="2"/>
      </rPr>
      <t xml:space="preserve">친구나 모임 요청을 거절해서 잘했다고 느낀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</si>
  <si>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 뒤에는 미안함이 더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거절로 지킨 것을 확인해 두면 다음 거절이 조금 덜 무겁습니다</t>
    </r>
    <r>
      <rPr>
        <sz val="10"/>
        <rFont val="맑은 고딕"/>
        <family val="0"/>
        <charset val="1"/>
      </rPr>
      <t xml:space="preserve">.</t>
    </r>
  </si>
  <si>
    <t xml:space="preserve">NEW-REL-BOUNDARY-08</t>
  </si>
  <si>
    <t xml:space="preserve">모임 불참 메시지 짧게 준비하기</t>
  </si>
  <si>
    <r>
      <rPr>
        <sz val="10"/>
        <rFont val="Noto Sans CJK SC"/>
        <family val="2"/>
      </rPr>
      <t xml:space="preserve">쉬고 싶은 날 쓸 수 있는 정중한 불참 문장을 미리 하나 써서 메모장에 저장해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이번엔 쉬어 갈게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꼭 보자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</si>
  <si>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자리에서 거절할 말을 찾으려면 마음이 급해집니다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문장이 있으면 미안함에 끌려가지 않고 내 선택을 지킬 수 있어요</t>
    </r>
    <r>
      <rPr>
        <sz val="10"/>
        <rFont val="맑은 고딕"/>
        <family val="0"/>
        <charset val="1"/>
      </rPr>
      <t xml:space="preserve">.</t>
    </r>
  </si>
  <si>
    <t xml:space="preserve">REL-CARE-L1-04</t>
  </si>
  <si>
    <t xml:space="preserve">사람을 만나지 않는 저녁을 의도적으로 만들기</t>
  </si>
  <si>
    <r>
      <rPr>
        <sz val="10"/>
        <rFont val="Noto Sans CJK SC"/>
        <family val="2"/>
      </rPr>
      <t xml:space="preserve">이번 주 저녁 하루를 골라 약속을 잡지 않는 날로 비워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그날은 연락에도 바로 답하지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</si>
  <si>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좋아해도 혼자 회복하는 시간은 필요해요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저녁이 있어야 다른 날의 만남도 더 즐겁게 누릴 수 있습니다</t>
    </r>
    <r>
      <rPr>
        <sz val="10"/>
        <rFont val="맑은 고딕"/>
        <family val="0"/>
        <charset val="1"/>
      </rPr>
      <t xml:space="preserve">.</t>
    </r>
  </si>
  <si>
    <t xml:space="preserve">8~10 · 3~5 · -</t>
  </si>
  <si>
    <t xml:space="preserve">PRAC_BOUND_MONEY</t>
  </si>
  <si>
    <t xml:space="preserve">NEW-SELF-VALUES-01</t>
  </si>
  <si>
    <t xml:space="preserve">내가 지키고 싶은 일상의 규칙 한 줄 쓰기</t>
  </si>
  <si>
    <r>
      <rPr>
        <sz val="10"/>
        <rFont val="Noto Sans CJK SC"/>
        <family val="2"/>
      </rPr>
      <t xml:space="preserve">돈과 관련해 나를 위해 지키고 싶은 작은 원칙 하나를 문장으로 적어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돈을 빌려줄 때는 하루 생각하고 답한다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구체적일수록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</si>
  <si>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기준이 미리 있으면 부탁을 받거나 사고 싶은 게 생길 때 흔들림이 줄어요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정해 둔 한 줄이 나 대신 선을 그어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</si>
  <si>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실행 의도</t>
    </r>
    <r>
      <rPr>
        <sz val="10"/>
        <rFont val="맑은 고딕"/>
        <family val="0"/>
        <charset val="1"/>
      </rPr>
      <t xml:space="preserve">(Implementation intentions - Gollwitzer)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LOGO:fit</t>
    </r>
  </si>
  <si>
    <t xml:space="preserve">THX-DBT-04</t>
  </si>
  <si>
    <t xml:space="preserve">충동 행동에 장단점 네 칸 채우기</t>
  </si>
  <si>
    <r>
      <rPr>
        <sz val="10"/>
        <rFont val="Noto Sans CJK SC"/>
        <family val="2"/>
      </rPr>
      <t xml:space="preserve">자꾸 하게 되는 충동구매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샀을 때와 사지 않고 넘겼을 때의 좋은 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나쁜 점 네 칸을 채워 휴대폰에 저장해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충동이 오면 결제 전에 꺼내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</si>
  <si>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마음과 나중의 내가 바라는 것을 나란히 놓으면 고르기가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지출에 선을 긋는 것은 참는 일이 아니라 나를 챙기는 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</si>
  <si>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</t>
    </r>
    <r>
      <rPr>
        <sz val="10"/>
        <rFont val="Noto Sans CJK SC"/>
        <family val="2"/>
      </rPr>
      <t xml:space="preserve">장단점 따져보기</t>
    </r>
    <r>
      <rPr>
        <sz val="10"/>
        <rFont val="맑은 고딕"/>
        <family val="0"/>
        <charset val="1"/>
      </rPr>
      <t xml:space="preserve">(Pros and cons - DBT)</t>
    </r>
  </si>
  <si>
    <t xml:space="preserve">SELF-CARE-L2-05</t>
  </si>
  <si>
    <t xml:space="preserve">부담 없는 선에서 나를 기쁘게 하는 것들을 정해두기</t>
  </si>
  <si>
    <r>
      <rPr>
        <sz val="10"/>
        <rFont val="Noto Sans CJK SC"/>
        <family val="2"/>
      </rPr>
      <t xml:space="preserve">돈이 거의 들지 않으면서 나를 기쁘게 하는 것들을 몇 가지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도서관 나들이처럼 소박할수록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</si>
  <si>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기분을 돌보는 방법이 소비 하나뿐이면 지출의 선을 지키기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부담 없는 즐거움이 있으면 무리한 요청이나 유혹에도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</si>
  <si>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 - </t>
    </r>
    <r>
      <rPr>
        <sz val="10"/>
        <rFont val="Noto Sans CJK SC"/>
        <family val="2"/>
      </rPr>
      <t xml:space="preserve">거절하기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</t>
    </r>
  </si>
  <si>
    <t xml:space="preserve">8~10 · 5~10 · -</t>
  </si>
  <si>
    <r>
      <rPr>
        <sz val="10"/>
        <rFont val="Noto Sans CJK SC"/>
        <family val="2"/>
      </rPr>
      <t xml:space="preserve">재정 전용 실천 부족 — 일상 원칙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충동 장단점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소박한 즐거움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THX-DBT-04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행동 충동에는 쓰지 않음</t>
    </r>
    <r>
      <rPr>
        <sz val="10"/>
        <rFont val="맑은 고딕"/>
        <family val="0"/>
        <charset val="1"/>
      </rPr>
      <t xml:space="preserve">. THX-DBT-04, SELF-CARE-L2-05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</si>
  <si>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PRAC_SPEAK_CAREER</t>
  </si>
  <si>
    <t xml:space="preserve">NEW-WORK-CONTEXT-07</t>
  </si>
  <si>
    <t xml:space="preserve">다음 회의에서 확인할 한 문장 준비하기</t>
  </si>
  <si>
    <r>
      <rPr>
        <sz val="10"/>
        <rFont val="Noto Sans CJK SC"/>
        <family val="2"/>
      </rPr>
      <t xml:space="preserve">회의 전에 꼭 확인하거나 말하고 싶은 것 하나를 질문 문장으로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제가 이렇게 이해했는데 맞을까요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쓰면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</si>
  <si>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문장이 준비돼 있으면 타이밍을 놓쳐도 다시 꺼낼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쓴 한 줄이 목소리를 내는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</si>
  <si>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</t>
    </r>
  </si>
  <si>
    <t xml:space="preserve">WORK-TALK-L1-04</t>
  </si>
  <si>
    <t xml:space="preserve">회의 중 작은 의견부터 말하는 연습을 하기</t>
  </si>
  <si>
    <r>
      <rPr>
        <sz val="10"/>
        <rFont val="Noto Sans CJK SC"/>
        <family val="2"/>
      </rPr>
      <t xml:space="preserve">다음 회의에서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저도 그 방향이 좋아 보여요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짧은 의견 하나를 소리 내어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동의나 질문도 훌륭한 의견입니다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</si>
  <si>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말이라도 한 번 해 보면 다음 발언의 문턱이 낮아집니다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목소리가 회의에 있다는 감각이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</si>
  <si>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</si>
  <si>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WORK-TALK-L2-01</t>
  </si>
  <si>
    <t xml:space="preserve">일이 쌓이기 전에 지금 상황 알리기</t>
  </si>
  <si>
    <r>
      <rPr>
        <sz val="10"/>
        <rFont val="Noto Sans CJK SC"/>
        <family val="2"/>
      </rPr>
      <t xml:space="preserve">일정이 빠듯하거나 업무가 몰릴 것 같으면 문제가 커지기 전에 담당자에게 지금 상황을 짧게 알려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일은 이번 주 안에는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가능할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대안을 붙이면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</si>
  <si>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상황을 늦게 말할수록 말하기도 어렵고 수습할 일도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</si>
  <si>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실천 모두 말하기 계열이지만 준비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회의 발언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상황 공유로 단계를 나눔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실천은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재직 실천 중 말하기와 맞는 것이 없어 넣지 않음</t>
    </r>
    <r>
      <rPr>
        <sz val="10"/>
        <rFont val="맑은 고딕"/>
        <family val="0"/>
        <charset val="1"/>
      </rPr>
      <t xml:space="preserve">.</t>
    </r>
  </si>
  <si>
    <t xml:space="preserve">PRAC_SPEAK_GROWTH</t>
  </si>
  <si>
    <t xml:space="preserve">SELF-TALK-L1-04</t>
  </si>
  <si>
    <t xml:space="preserve">말하기 전에 글로 먼저 정리하며 감정을 선명하게 하기</t>
  </si>
  <si>
    <r>
      <rPr>
        <sz val="10"/>
        <rFont val="Noto Sans CJK SC"/>
        <family val="2"/>
      </rPr>
      <t xml:space="preserve">요즘 하고 싶은 일이나 진로 고민을 누군가에게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떠오르는 대로 글로 먼저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꼭 전하고 싶은 문장 하나에 밑줄을 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</si>
  <si>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글이 되면 막연하던 마음이 선명해져요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정리된 한 문장이 있으면 말로 꺼낼 용기도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</si>
  <si>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 · WBT:fit</t>
    </r>
  </si>
  <si>
    <t xml:space="preserve">THX-EFT-22</t>
  </si>
  <si>
    <t xml:space="preserve">새로 해보는 일 앞에서 든든한 한 사람에게 알리기</t>
  </si>
  <si>
    <r>
      <rPr>
        <sz val="10"/>
        <rFont val="Noto Sans CJK SC"/>
        <family val="2"/>
      </rPr>
      <t xml:space="preserve">이번 주 새로 시작하거나 도전하는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응원해 줄 만한 사람 한 명에게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이거 해 보려고 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조언을 구하지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</si>
  <si>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한 사람에게 시작을 알리는 것만으로도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계획을 소리 내어 말하는 연습도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</si>
  <si>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 기지</t>
    </r>
    <r>
      <rPr>
        <sz val="10"/>
        <rFont val="맑은 고딕"/>
        <family val="0"/>
        <charset val="1"/>
      </rPr>
      <t xml:space="preserve">(Secure base - Bowlby, Feeney /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</si>
  <si>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THX-REBT-20</t>
  </si>
  <si>
    <t xml:space="preserve">나를 지켜줄 문장을 소리 내어 녹음하고 다시 듣기</t>
  </si>
  <si>
    <r>
      <rPr>
        <sz val="10"/>
        <rFont val="Noto Sans CJK SC"/>
        <family val="2"/>
      </rPr>
      <t xml:space="preserve">준비하다 흔들릴 때 나를 붙잡아 줄 문장 한 줄을 정해 휴대폰 음성 메모에 또박또박 녹음해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 들어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믿기 어렵다면 문장을 조금 더 현실적으로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</si>
  <si>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목소리만큼 단단한 목소리도 연습할수록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목소리로 내 편을 들어 보는 경험은 다른 사람 앞에서 말할 때도 힘이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</si>
  <si>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소리 내어 힘 있게 논박하기</t>
    </r>
    <r>
      <rPr>
        <sz val="10"/>
        <rFont val="맑은 고딕"/>
        <family val="0"/>
        <charset val="1"/>
      </rPr>
      <t xml:space="preserve">(Forceful taped disputing - REBT, Ellis)</t>
    </r>
  </si>
  <si>
    <t xml:space="preserve">- · 1~3 · 3~5</t>
  </si>
  <si>
    <r>
      <rPr>
        <sz val="10"/>
        <rFont val="맑은 고딕"/>
        <family val="0"/>
        <charset val="1"/>
      </rPr>
      <t xml:space="preserve">THX-EFT-22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. THX-REBT-20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원문의 믿음 점수 매기기는 숫자 금지로 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곳에서</t>
    </r>
    <r>
      <rPr>
        <sz val="10"/>
        <rFont val="맑은 고딕"/>
        <family val="0"/>
        <charset val="1"/>
      </rPr>
      <t xml:space="preserve">.</t>
    </r>
  </si>
  <si>
    <t xml:space="preserve">PRAC_SPEAK_LOVE</t>
  </si>
  <si>
    <t xml:space="preserve">THX-EFT-03</t>
  </si>
  <si>
    <r>
      <rPr>
        <sz val="10"/>
        <rFont val="Noto Sans CJK SC"/>
        <family val="2"/>
      </rPr>
      <t xml:space="preserve">화난 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속감정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하고 싶던 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줄 적기</t>
    </r>
  </si>
  <si>
    <r>
      <rPr>
        <sz val="10"/>
        <rFont val="Noto Sans CJK SC"/>
        <family val="2"/>
      </rPr>
      <t xml:space="preserve">연애하며 화나거나 싸늘해졌던 순간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겉으로 나온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있던 여린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감정이 하고 싶었던 말 한 문장을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속감정이 잘 안 떠오르면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 모르겠음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 충분한 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</si>
  <si>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나온 화 밑에 서운함이나 불안이 숨어 있을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속마음을 찾아야 정말 하고 싶던 말을 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</si>
  <si>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1</t>
    </r>
    <r>
      <rPr>
        <sz val="10"/>
        <rFont val="Noto Sans CJK SC"/>
        <family val="2"/>
      </rPr>
      <t xml:space="preserve">차 정서와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정서</t>
    </r>
    <r>
      <rPr>
        <sz val="10"/>
        <rFont val="맑은 고딕"/>
        <family val="0"/>
        <charset val="1"/>
      </rPr>
      <t xml:space="preserve">(Primary vs secondary emotion - EFT, Johnson / Greenberg &amp; Safran)</t>
    </r>
  </si>
  <si>
    <t xml:space="preserve">COUPLE-TALK-L1-01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</si>
  <si>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왜 안 했어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시작하기</t>
    </r>
  </si>
  <si>
    <r>
      <rPr>
        <sz val="10"/>
        <rFont val="Noto Sans CJK SC"/>
        <family val="2"/>
      </rPr>
      <t xml:space="preserve">서운한 일이 생기면 상대의 행동을 따지기 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말을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장면만 짧게 말하는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</si>
  <si>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시작하는 말은 상대를 방어하게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주어로 말하면 상대도 귀를 열기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</si>
  <si>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 · IPT:fit</t>
    </r>
  </si>
  <si>
    <t xml:space="preserve">REL-TALK-L1-01</t>
  </si>
  <si>
    <t xml:space="preserve">구체적인 한 가지를 짚어 칭찬해보기</t>
  </si>
  <si>
    <r>
      <rPr>
        <sz val="10"/>
        <rFont val="Noto Sans CJK SC"/>
        <family val="2"/>
      </rPr>
      <t xml:space="preserve">연인이나 요즘 알아가는 사람에게 고마웠던 행동 하나를 구체적으로 짚어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오늘 먼저 연락해 줘서 좋았어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</si>
  <si>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마음도 말해야 전해집니다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긍정적인 표현이 자주 오가면 어려운 말을 꺼낼 때도 덜 긴장돼요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</si>
  <si>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PPT:fit</t>
    </r>
  </si>
  <si>
    <t xml:space="preserve">5~10 · - · -</t>
  </si>
  <si>
    <r>
      <rPr>
        <sz val="10"/>
        <rFont val="맑은 고딕"/>
        <family val="0"/>
        <charset val="1"/>
      </rPr>
      <t xml:space="preserve">THX-EFT-03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속감정을 정답처럼 정해 주지 않기</t>
    </r>
    <r>
      <rPr>
        <sz val="10"/>
        <rFont val="맑은 고딕"/>
        <family val="0"/>
        <charset val="1"/>
      </rPr>
      <t xml:space="preserve">.</t>
    </r>
  </si>
  <si>
    <t xml:space="preserve">PRAC_SPEAK_FAMILY</t>
  </si>
  <si>
    <t xml:space="preserve">THX-IPT-11</t>
  </si>
  <si>
    <r>
      <rPr>
        <sz val="10"/>
        <rFont val="Noto Sans CJK SC"/>
        <family val="2"/>
      </rPr>
      <t xml:space="preserve">불편한 마음을 푸는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방식 하나 고르기</t>
    </r>
  </si>
  <si>
    <r>
      <rPr>
        <sz val="10"/>
        <rFont val="Noto Sans CJK SC"/>
        <family val="2"/>
      </rPr>
      <t xml:space="preserve">우리 집에서는 불편한 일이 생기면 보통 어떻게 푸는지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말하기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글로 전하기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가족의 도움 받기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두기를 나란히 놓아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상황에 가장 맞는 방식에 별을 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괜찮다면 그 방식으로 한 번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</si>
  <si>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푸는 방식은 집집마다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우리 집에 맞는 길을 고르면 말하기의 부담이 한결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</si>
  <si>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맥락에 맞는 방식</t>
    </r>
    <r>
      <rPr>
        <sz val="10"/>
        <rFont val="맑은 고딕"/>
        <family val="0"/>
        <charset val="1"/>
      </rPr>
      <t xml:space="preserve">(Cultural adaptation - IPT)</t>
    </r>
  </si>
  <si>
    <t xml:space="preserve">REL-TALK-L1-02</t>
  </si>
  <si>
    <t xml:space="preserve">비난 대신 내 감정을 주어로 말해보기</t>
  </si>
  <si>
    <r>
      <rPr>
        <sz val="10"/>
        <rFont val="Noto Sans CJK SC"/>
        <family val="2"/>
      </rPr>
      <t xml:space="preserve">가족에게 불편한 점이 있을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 맨날 그래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그 말을 들으면 좀 속상해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감정을 주어로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한 가지만 전하는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</si>
  <si>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탓하는 말은 대화를 다툼으로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감정을 전하면 가족도 내 마음을 알아들을 여지가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</si>
  <si>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</si>
  <si>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THX-DBT-03</t>
  </si>
  <si>
    <r>
      <rPr>
        <sz val="10"/>
        <rFont val="Noto Sans CJK SC"/>
        <family val="2"/>
      </rPr>
      <t xml:space="preserve">욱한 순간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멈춤 → 한 걸음 물러남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번 해보기</t>
    </r>
  </si>
  <si>
    <r>
      <rPr>
        <sz val="10"/>
        <rFont val="Noto Sans CJK SC"/>
        <family val="2"/>
      </rPr>
      <t xml:space="preserve">가족과 이야기하다 화가 확 올라오면 바로 말하지 말고 잠깐 멈춘 뒤 한 걸음 물러나 숨을 길게 내쉬어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원하는 결과를 떠올리고 할 말을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</si>
  <si>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사이일수록 말이 먼저 튀어나오기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박자 멈추면 하고 싶은 말을 내가 고를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</si>
  <si>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STOP </t>
    </r>
    <r>
      <rPr>
        <sz val="10"/>
        <rFont val="Noto Sans CJK SC"/>
        <family val="2"/>
      </rPr>
      <t xml:space="preserve">기술</t>
    </r>
    <r>
      <rPr>
        <sz val="10"/>
        <rFont val="맑은 고딕"/>
        <family val="0"/>
        <charset val="1"/>
      </rPr>
      <t xml:space="preserve">(Stop, step back, observe, proceed - DBT)</t>
    </r>
  </si>
  <si>
    <t xml:space="preserve">10~15 · - · 1~3</t>
  </si>
  <si>
    <r>
      <rPr>
        <sz val="10"/>
        <rFont val="맑은 고딕"/>
        <family val="0"/>
        <charset val="1"/>
      </rPr>
      <t xml:space="preserve">THX-IPT-11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직접 말하기를 기본값으로 밀지 않기</t>
    </r>
    <r>
      <rPr>
        <sz val="10"/>
        <rFont val="맑은 고딕"/>
        <family val="0"/>
        <charset val="1"/>
      </rPr>
      <t xml:space="preserve">. THX-DBT-03 </t>
    </r>
    <r>
      <rPr>
        <sz val="10"/>
        <rFont val="Noto Sans CJK SC"/>
        <family val="2"/>
      </rPr>
      <t xml:space="preserve">원문의 </t>
    </r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</si>
  <si>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PRAC_SPEAK_SOCIAL</t>
  </si>
  <si>
    <t xml:space="preserve">SELF-MIND-L1-04</t>
  </si>
  <si>
    <t xml:space="preserve">지금 느끼는 감정을 한 단어로 표현해보기</t>
  </si>
  <si>
    <r>
      <rPr>
        <sz val="10"/>
        <rFont val="Noto Sans CJK SC"/>
        <family val="2"/>
      </rPr>
      <t xml:space="preserve">친구와 대화한 뒤나 모임에서 돌아오는 길에 지금 느끼는 감정에 한 단어로 이름을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</si>
  <si>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이름이 붙으면 막연한 기분이 조금 정리돼요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먼저 알아야 다른 사람에게도 표현할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</si>
  <si>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EFT:fit · RBT:fit</t>
    </r>
  </si>
  <si>
    <t xml:space="preserve">THX-WBT-17</t>
  </si>
  <si>
    <r>
      <rPr>
        <sz val="10"/>
        <rFont val="Noto Sans CJK SC"/>
        <family val="2"/>
      </rPr>
      <t xml:space="preserve">전하고 싶은 말을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속마음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전할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다시 쓰기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</si>
  <si>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쏟아 내는 부분과 상대에게 꼭 전해야 할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</si>
  <si>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털어놓는 것이 오히려 서로를 서운하게 할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말을 골라 두면 차분하게 전하기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</si>
  <si>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마음속 조정 후 전하기</t>
    </r>
    <r>
      <rPr>
        <sz val="10"/>
        <rFont val="맑은 고딕"/>
        <family val="0"/>
        <charset val="1"/>
      </rPr>
      <t xml:space="preserve">(Internal dialogue before sharing - WBT, Fava) / </t>
    </r>
    <r>
      <rPr>
        <sz val="10"/>
        <rFont val="Noto Sans CJK SC"/>
        <family val="2"/>
      </rPr>
      <t xml:space="preserve">긍정적 관계</t>
    </r>
    <r>
      <rPr>
        <sz val="10"/>
        <rFont val="맑은 고딕"/>
        <family val="0"/>
        <charset val="1"/>
      </rPr>
      <t xml:space="preserve">(Positive relations - Ryff)</t>
    </r>
  </si>
  <si>
    <t xml:space="preserve">REL-TALK-L1-04</t>
  </si>
  <si>
    <t xml:space="preserve">쌓아두지 않고 가볍게라도 표현해보기</t>
  </si>
  <si>
    <r>
      <rPr>
        <sz val="10"/>
        <rFont val="Noto Sans CJK SC"/>
        <family val="2"/>
      </rPr>
      <t xml:space="preserve">모임에서 메뉴나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시간에 대한 내 선호가 있다면 한 번은 가볍게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이쪽이 좀 더 좋아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</si>
  <si>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의견을 삼키다 보면 서운함이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자주 말하는 연습이 큰 이야기도 꺼낼 수 있는 바탕이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</si>
  <si>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 · LTA:fit · ST:fit</t>
    </r>
  </si>
  <si>
    <t xml:space="preserve">- · 5~10 · -</t>
  </si>
  <si>
    <t xml:space="preserve">PRAC_SPEAK_MONEY</t>
  </si>
  <si>
    <t xml:space="preserve">THX-IPT-10</t>
  </si>
  <si>
    <t xml:space="preserve">어려운 대화를 두세 줄 대본으로 미리 써보기</t>
  </si>
  <si>
    <r>
      <rPr>
        <sz val="10"/>
        <rFont val="Noto Sans CJK SC"/>
        <family val="2"/>
      </rPr>
      <t xml:space="preserve">더치페이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빌려준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생활비 분담처럼 꺼내기 어려운 돈 이야기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할 법한 말과 내 대답을 주고받듯 두세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소리 내어 읽어 보고 말투가 마음에 들 때까지 짧게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</si>
  <si>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이야기는 꺼내기 전이 가장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몇 줄이라도 미리 써 두면 삼키던 말이 실제로 꺼낼 수 있는 문장이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</si>
  <si>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대화 미리 연습하기</t>
    </r>
    <r>
      <rPr>
        <sz val="10"/>
        <rFont val="맑은 고딕"/>
        <family val="0"/>
        <charset val="1"/>
      </rPr>
      <t xml:space="preserve">(Dialogue rehearsal - IPT)</t>
    </r>
  </si>
  <si>
    <t xml:space="preserve">NEW-REL-BOUNDARY-04</t>
  </si>
  <si>
    <t xml:space="preserve">선택지를 두 개로 줄여 제안하기</t>
  </si>
  <si>
    <r>
      <rPr>
        <sz val="10"/>
        <rFont val="Noto Sans CJK SC"/>
        <family val="2"/>
      </rPr>
      <t xml:space="preserve">모임이나 약속을 잡을 때 내 예산과 일정에 맞는 선택지 두 개를 먼저 제안해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두 곳 중에 어때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가볍게 말하면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</si>
  <si>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형편을 길게 설명하지 않아도 내 필요를 자연스럽게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제안하는 것만으로 부담스러운 지출을 줄일 수 있습니다</t>
    </r>
    <r>
      <rPr>
        <sz val="10"/>
        <rFont val="맑은 고딕"/>
        <family val="0"/>
        <charset val="1"/>
      </rPr>
      <t xml:space="preserve">.</t>
    </r>
  </si>
  <si>
    <t xml:space="preserve">SELF-TALK-L1-01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</si>
  <si>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오늘 좀 지쳤어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처럼 짧게라도 감정을 말로 꺼내보기</t>
    </r>
  </si>
  <si>
    <r>
      <rPr>
        <sz val="10"/>
        <rFont val="Noto Sans CJK SC"/>
        <family val="2"/>
      </rPr>
      <t xml:space="preserve">돈 문제로 마음이 무거운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좀 빠듯해서 신경이 쓰여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감정을 말로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</si>
  <si>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않은 걱정은 혼자 더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짧게라도 꺼내면 마음이 조금 가벼워지고 도움을 청할 길도 열려요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</si>
  <si>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</si>
  <si>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10~15 · 8~10 · -</t>
  </si>
  <si>
    <r>
      <rPr>
        <sz val="10"/>
        <rFont val="Noto Sans CJK SC"/>
        <family val="2"/>
      </rPr>
      <t xml:space="preserve">재정 전용 실천 부족 — 대화 대본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선택지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감정 꺼내기 실천을 돈 장면으로 맞춤</t>
    </r>
    <r>
      <rPr>
        <sz val="10"/>
        <rFont val="맑은 고딕"/>
        <family val="0"/>
        <charset val="1"/>
      </rPr>
      <t xml:space="preserve">. THX-IPT-10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안전하지 않은 관계의 대화는 연습하지 않음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 NEW-REL-BOUNDARY-04 </t>
    </r>
    <r>
      <rPr>
        <sz val="10"/>
        <rFont val="Noto Sans CJK SC"/>
        <family val="2"/>
      </rPr>
      <t xml:space="preserve">원문은 날짜 두 개 제안 — 예산까지 넓힘</t>
    </r>
    <r>
      <rPr>
        <sz val="10"/>
        <rFont val="맑은 고딕"/>
        <family val="0"/>
        <charset val="1"/>
      </rPr>
      <t xml:space="preserve">.</t>
    </r>
  </si>
  <si>
    <t xml:space="preserve">PRAC_REPAIR_CAREER</t>
  </si>
  <si>
    <t xml:space="preserve">THX-RBT-09</t>
  </si>
  <si>
    <t xml:space="preserve">의견이 부딪친 뒤 상대 말에서 맞을 수 있는 한 조각 찾기</t>
  </si>
  <si>
    <r>
      <rPr>
        <sz val="10"/>
        <rFont val="Noto Sans CJK SC"/>
        <family val="2"/>
      </rPr>
      <t xml:space="preserve">최근 동료와 의견이 부딪친 장면 하나를 떠올려 내 생각을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확실한 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의견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상대 의견에서 맞을 수도 있는 한 조각을 찾아 한 줄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</si>
  <si>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꼭 옳아야만 안심되는 마음은 오히려 쉽게 흔들려요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조각을 인정해 보면 다시 마주 앉을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</si>
  <si>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경직성과 유연성</t>
    </r>
    <r>
      <rPr>
        <sz val="10"/>
        <rFont val="맑은 고딕"/>
        <family val="0"/>
        <charset val="1"/>
      </rPr>
      <t xml:space="preserve">(Rigidity vs flexibility - RBT, Maultsby)</t>
    </r>
  </si>
  <si>
    <t xml:space="preserve">WORK-TALK-L1-03</t>
  </si>
  <si>
    <t xml:space="preserve">작은 인정의 말로 관계와 분위기 데우기</t>
  </si>
  <si>
    <r>
      <rPr>
        <sz val="10"/>
        <rFont val="Noto Sans CJK SC"/>
        <family val="2"/>
      </rPr>
      <t xml:space="preserve">부딪쳤던 동료에게 평소처럼 업무 이야기를 건네며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정리해 주신 자료 덕분에 편했어요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작은 인정의 말을 덧붙여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일을 다시 꺼내지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</si>
  <si>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갈등 뒤 어색함은 작은 말 한마디로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인정의 말이 오가면 다시 함께 일할 분위기가 데워져요</t>
    </r>
    <r>
      <rPr>
        <sz val="10"/>
        <rFont val="맑은 고딕"/>
        <family val="0"/>
        <charset val="1"/>
      </rPr>
      <t xml:space="preserve">.</t>
    </r>
  </si>
  <si>
    <t xml:space="preserve">WORK-CARE-L1-04</t>
  </si>
  <si>
    <t xml:space="preserve">업무 모드에서 벗어나는 전환 의식을 만들기</t>
  </si>
  <si>
    <r>
      <rPr>
        <sz val="10"/>
        <rFont val="Noto Sans CJK SC"/>
        <family val="2"/>
      </rPr>
      <t xml:space="preserve">속상한 일이 있었던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퇴근하면서 손을 씻거나 옷을 갈아입는 것처럼 일과 나를 떼어 놓는 동작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동작을 할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오늘 일은 여기까지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속으로 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</si>
  <si>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일터의 감정을 집까지 데려오면 회복할 틈이 줄어들어요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전환 신호가 있으면 마음을 추스르기 훨씬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</si>
  <si>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의식</t>
    </r>
    <r>
      <rPr>
        <sz val="10"/>
        <rFont val="맑은 고딕"/>
        <family val="0"/>
        <charset val="1"/>
      </rPr>
      <t xml:space="preserve">(Transition rituals - </t>
    </r>
    <r>
      <rPr>
        <sz val="10"/>
        <rFont val="Noto Sans CJK SC"/>
        <family val="2"/>
      </rPr>
      <t xml:space="preserve">역할 전환 신호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IPT:neutral</t>
    </r>
  </si>
  <si>
    <r>
      <rPr>
        <sz val="10"/>
        <rFont val="맑은 고딕"/>
        <family val="0"/>
        <charset val="1"/>
      </rPr>
      <t xml:space="preserve">THX-RBT-09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괴롭힘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통제 관계에서 상대 주장에 맞추라는 뜻으로 쓰지 않음</t>
    </r>
    <r>
      <rPr>
        <sz val="10"/>
        <rFont val="맑은 고딕"/>
        <family val="0"/>
        <charset val="1"/>
      </rPr>
      <t xml:space="preserve">. WORK-TALK-L1-03, WORK-CARE-L1-04</t>
    </r>
    <r>
      <rPr>
        <sz val="10"/>
        <rFont val="Noto Sans CJK SC"/>
        <family val="2"/>
      </rPr>
      <t xml:space="preserve">는 재직필요</t>
    </r>
    <r>
      <rPr>
        <sz val="10"/>
        <rFont val="맑은 고딕"/>
        <family val="0"/>
        <charset val="1"/>
      </rPr>
      <t xml:space="preserve">.</t>
    </r>
  </si>
  <si>
    <t xml:space="preserve">PRAC_REPAIR_GROWTH</t>
  </si>
  <si>
    <t xml:space="preserve">THX-CFT-12</t>
  </si>
  <si>
    <t xml:space="preserve">친구에게 건넬 말을 쓰고 한 줄을 나에게 읽기</t>
  </si>
  <si>
    <r>
      <rPr>
        <sz val="10"/>
        <rFont val="Noto Sans CJK SC"/>
        <family val="2"/>
      </rPr>
      <t xml:space="preserve">소중한 친구가 나처럼 시험이나 지원에서 뜻대로 되지 않았다고 상상하고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그에게 건넬 말을 몇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한 줄을 골라 나에게 소리 내어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</si>
  <si>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친구에게는 쉽게 건네는 다정한 말을 나에게 돌려 읽으면 자책이 조금 누그러져요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일어설 힘은 다그침보다 다정함에서 나오기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</si>
  <si>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친구에게 건넬 말</t>
    </r>
    <r>
      <rPr>
        <sz val="10"/>
        <rFont val="맑은 고딕"/>
        <family val="0"/>
        <charset val="1"/>
      </rPr>
      <t xml:space="preserve">(Friend’s chair, </t>
    </r>
    <r>
      <rPr>
        <sz val="10"/>
        <rFont val="Noto Sans CJK SC"/>
        <family val="2"/>
      </rPr>
      <t xml:space="preserve">글쓰기형 </t>
    </r>
    <r>
      <rPr>
        <sz val="10"/>
        <rFont val="맑은 고딕"/>
        <family val="0"/>
        <charset val="1"/>
      </rPr>
      <t xml:space="preserve">- CFT)</t>
    </r>
  </si>
  <si>
    <t xml:space="preserve">THX-PPT-23</t>
  </si>
  <si>
    <r>
      <rPr>
        <sz val="10"/>
        <rFont val="Noto Sans CJK SC"/>
        <family val="2"/>
      </rPr>
      <t xml:space="preserve">막힌 목표 하나에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갈 수 있는 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가지 적기</t>
    </r>
  </si>
  <si>
    <r>
      <rPr>
        <sz val="10"/>
        <rFont val="Noto Sans CJK SC"/>
        <family val="2"/>
      </rPr>
      <t xml:space="preserve">요즘 막혀 있다고 느끼는 목표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방법 말고 그곳에 닿을 수 있는 다른 길을 두 가지만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할 수 없는 길이어도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</si>
  <si>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희망은 덮어놓고 좋게 보는 것이 아니라 길이 있다고 믿는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길이 하나 보이면 실망에서 다시 걸음을 옮기기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</si>
  <si>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TH-PPT · </t>
    </r>
    <r>
      <rPr>
        <sz val="10"/>
        <rFont val="Noto Sans CJK SC"/>
        <family val="2"/>
      </rPr>
      <t xml:space="preserve">희망과 낙관</t>
    </r>
    <r>
      <rPr>
        <sz val="10"/>
        <rFont val="맑은 고딕"/>
        <family val="0"/>
        <charset val="1"/>
      </rPr>
      <t xml:space="preserve">(Hope &amp; optimism - Snyder, Seligman, PPT)</t>
    </r>
  </si>
  <si>
    <t xml:space="preserve">SELF-BODY-L1-02</t>
  </si>
  <si>
    <t xml:space="preserve">좋아하는 곡 한 곡 길이만큼 몸을 가볍게 늘여주기</t>
  </si>
  <si>
    <r>
      <rPr>
        <sz val="10"/>
        <rFont val="Noto Sans CJK SC"/>
        <family val="2"/>
      </rPr>
      <t xml:space="preserve">뜻대로 안 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 한 곡을 틀고 그 노래가 끝날 때까지 목과 어깨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허리를 천천히 늘여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잘하려 애쓰지 않고 시원한 만큼만 움직입니다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</si>
  <si>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실망은 몸에도 무겁게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먼저 풀어 주면 마음을 추스를 여유도 따라옵니다</t>
    </r>
    <r>
      <rPr>
        <sz val="10"/>
        <rFont val="맑은 고딕"/>
        <family val="0"/>
        <charset val="1"/>
      </rPr>
      <t xml:space="preserve">.</t>
    </r>
  </si>
  <si>
    <t xml:space="preserve">5~10 · 5 · -</t>
  </si>
  <si>
    <r>
      <rPr>
        <sz val="10"/>
        <rFont val="Noto Sans CJK SC"/>
        <family val="2"/>
      </rPr>
      <t xml:space="preserve">진로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갈등보다 좌절 뒤 마음 추스르기로 해석</t>
    </r>
    <r>
      <rPr>
        <sz val="10"/>
        <rFont val="맑은 고딕"/>
        <family val="0"/>
        <charset val="1"/>
      </rPr>
      <t xml:space="preserve">. THX-PPT-23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길이 하나도 안 보이는 절망일 때는 쓰지 않고 안전 규칙 우선</t>
    </r>
    <r>
      <rPr>
        <sz val="10"/>
        <rFont val="맑은 고딕"/>
        <family val="0"/>
        <charset val="1"/>
      </rPr>
      <t xml:space="preserve">.</t>
    </r>
  </si>
  <si>
    <t xml:space="preserve">PRAC_REPAIR_LOVE</t>
  </si>
  <si>
    <t xml:space="preserve">THX-EFT-04</t>
  </si>
  <si>
    <r>
      <rPr>
        <sz val="10"/>
        <rFont val="Noto Sans CJK SC"/>
        <family val="2"/>
      </rPr>
      <t xml:space="preserve">다툴 때 내 행동을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다시 쓰기</t>
    </r>
  </si>
  <si>
    <r>
      <rPr>
        <sz val="10"/>
        <rFont val="Noto Sans CJK SC"/>
        <family val="2"/>
      </rPr>
      <t xml:space="preserve">다툴 때 내 행동에 붙던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잔소리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무심함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행동으로 사실은 무엇을 바랐는지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문장으로 다시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행동이 남긴 영향은 그대로 두고 그 안의 바람만 꺼내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</si>
  <si>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잔소리나 무심함 안에도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닿고 싶다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바람이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바람을 알면 다툼 뒤 다시 다가갈 말이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</si>
  <si>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애착 관점의 재구성</t>
    </r>
    <r>
      <rPr>
        <sz val="10"/>
        <rFont val="맑은 고딕"/>
        <family val="0"/>
        <charset val="1"/>
      </rPr>
      <t xml:space="preserve">(Reframing in attachment terms - EFT, Johnson)</t>
    </r>
  </si>
  <si>
    <t xml:space="preserve">COUPLE-TALK-L2-02</t>
  </si>
  <si>
    <t xml:space="preserve">감정이 격해지면 잠깐 멈췄다 다시 이야기하기로 약속하기</t>
  </si>
  <si>
    <r>
      <rPr>
        <sz val="10"/>
        <rFont val="Noto Sans CJK SC"/>
        <family val="2"/>
      </rPr>
      <t xml:space="preserve">평온할 때 연인과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감정이 격해지면 잠깐 쉬었다가 다시 이야기하자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시간과 다시 만날 때를 함께 정해 두는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</si>
  <si>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멈춤이 약속돼 있으면 잠시 자리를 피해도 버려진다는 느낌이 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가라앉은 뒤에 나누는 대화가 화해로 이어지기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</si>
  <si>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타임아웃 기법</t>
    </r>
    <r>
      <rPr>
        <sz val="10"/>
        <rFont val="맑은 고딕"/>
        <family val="0"/>
        <charset val="1"/>
      </rPr>
      <t xml:space="preserve">(Time-out technique - Gottman)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 · EFT:fit</t>
    </r>
  </si>
  <si>
    <t xml:space="preserve">SELF-CARE-L1-02</t>
  </si>
  <si>
    <t xml:space="preserve">잠깐 눈을 감고 호흡에만 집중하는 시간을 갖기</t>
  </si>
  <si>
    <r>
      <rPr>
        <sz val="10"/>
        <rFont val="Noto Sans CJK SC"/>
        <family val="2"/>
      </rPr>
      <t xml:space="preserve">다툼 뒤 마음이 들끓을 때 편한 자리에 앉아 잠깐 눈을 감고 숨이 들어오고 나가는 것에만 주의를 두어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떠오르면 다시 숨으로 돌아오면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</si>
  <si>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진정되어야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</si>
  <si>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호흡 기반 이완</t>
    </r>
    <r>
      <rPr>
        <sz val="10"/>
        <rFont val="맑은 고딕"/>
        <family val="0"/>
        <charset val="1"/>
      </rPr>
      <t xml:space="preserve">(Diaphragmatic breathing &amp; </t>
    </r>
    <r>
      <rPr>
        <sz val="10"/>
        <rFont val="Noto Sans CJK SC"/>
        <family val="2"/>
      </rPr>
      <t xml:space="preserve">부교감신경 활성화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</t>
    </r>
  </si>
  <si>
    <r>
      <rPr>
        <sz val="10"/>
        <rFont val="맑은 고딕"/>
        <family val="0"/>
        <charset val="1"/>
      </rPr>
      <t xml:space="preserve">THX-EFT-04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상처 주는 행동의 변명으로 쓰지 않기</t>
    </r>
    <r>
      <rPr>
        <sz val="10"/>
        <rFont val="맑은 고딕"/>
        <family val="0"/>
        <charset val="1"/>
      </rPr>
      <t xml:space="preserve">. COUPLE-TALK-L2-02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</si>
  <si>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PRAC_REPAIR_FAMILY</t>
  </si>
  <si>
    <t xml:space="preserve">THX-IPT-16</t>
  </si>
  <si>
    <t xml:space="preserve">지난 갈등에서 내 노력이 닿은 부분 두 가지 찾기</t>
  </si>
  <si>
    <r>
      <rPr>
        <sz val="10"/>
        <rFont val="Noto Sans CJK SC"/>
        <family val="2"/>
      </rPr>
      <t xml:space="preserve">최근 가족과의 갈등과 그 결과를 한 줄로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결과에 내가 영향을 준 행동을 두 가지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바꿔 볼 수 있는 한 조각도 함께 적어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</si>
  <si>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완벽하지 않아도 내 노력이 닿은 부분은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그걸 확인하면 무력감 대신 다음 한 걸음이 보입니다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</si>
  <si>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내가 미친 영향 알아차리기</t>
    </r>
    <r>
      <rPr>
        <sz val="10"/>
        <rFont val="맑은 고딕"/>
        <family val="0"/>
        <charset val="1"/>
      </rPr>
      <t xml:space="preserve">(Sense of agency - IPT)</t>
    </r>
  </si>
  <si>
    <t xml:space="preserve">REL-BODY-L1-04</t>
  </si>
  <si>
    <t xml:space="preserve">대화가 어렵다면 나란히 걷는 것부터 시작하기</t>
  </si>
  <si>
    <r>
      <rPr>
        <sz val="10"/>
        <rFont val="Noto Sans CJK SC"/>
        <family val="2"/>
      </rPr>
      <t xml:space="preserve">다툰 가족과 마주 앉아 이야기하기가 어색하다면 장보기나 동네 산책을 함께 가자고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나란히 걷다 보면 굳이 지난 일을 꺼내지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</si>
  <si>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마주 보는 대화보다 나란히 걷는 시간이 부담이 덜할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움직이는 시간이 다시 이어지는 다리가 돼요</t>
    </r>
    <r>
      <rPr>
        <sz val="10"/>
        <rFont val="맑은 고딕"/>
        <family val="0"/>
        <charset val="1"/>
      </rPr>
      <t xml:space="preserve">.</t>
    </r>
  </si>
  <si>
    <t xml:space="preserve">THX-EFT-23</t>
  </si>
  <si>
    <r>
      <rPr>
        <sz val="10"/>
        <rFont val="Noto Sans CJK SC"/>
        <family val="2"/>
      </rPr>
      <t xml:space="preserve">날카로운 한마디에 맞받기 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묻기</t>
    </r>
  </si>
  <si>
    <r>
      <rPr>
        <sz val="10"/>
        <rFont val="Noto Sans CJK SC"/>
        <family val="2"/>
      </rPr>
      <t xml:space="preserve">가족이 툭 날카롭게 말했을 때 바로 받아치거나 입을 닫는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숨을 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라고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 넘기라는 뜻이 아니라 엇갈림이 커지기 전에 한 번 멈춰 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</si>
  <si>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멈출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</si>
  <si>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맞받지 않고 맞춰주기</t>
    </r>
    <r>
      <rPr>
        <sz val="10"/>
        <rFont val="맑은 고딕"/>
        <family val="0"/>
        <charset val="1"/>
      </rPr>
      <t xml:space="preserve">(Accommodation - Rusbult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</si>
  <si>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5~10 · - · 1~2</t>
  </si>
  <si>
    <r>
      <rPr>
        <sz val="10"/>
        <rFont val="맑은 고딕"/>
        <family val="0"/>
        <charset val="1"/>
      </rPr>
      <t xml:space="preserve">THX-EFT-23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반복되는 폭언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무시라면 쓰지 않음</t>
    </r>
    <r>
      <rPr>
        <sz val="10"/>
        <rFont val="맑은 고딕"/>
        <family val="0"/>
        <charset val="1"/>
      </rPr>
      <t xml:space="preserve">. THX-IPT-16: </t>
    </r>
    <r>
      <rPr>
        <sz val="10"/>
        <rFont val="Noto Sans CJK SC"/>
        <family val="2"/>
      </rPr>
      <t xml:space="preserve">책임 추궁처럼 들리지 않게</t>
    </r>
    <r>
      <rPr>
        <sz val="10"/>
        <rFont val="맑은 고딕"/>
        <family val="0"/>
        <charset val="1"/>
      </rPr>
      <t xml:space="preserve">.</t>
    </r>
  </si>
  <si>
    <t xml:space="preserve">PRAC_REPAIR_SOCIAL</t>
  </si>
  <si>
    <t xml:space="preserve">THX-IPT-09</t>
  </si>
  <si>
    <r>
      <rPr>
        <sz val="10"/>
        <rFont val="Noto Sans CJK SC"/>
        <family val="2"/>
      </rPr>
      <t xml:space="preserve">최근 만남을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다음에 해볼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되짚기</t>
    </r>
  </si>
  <si>
    <r>
      <rPr>
        <sz val="10"/>
        <rFont val="Noto Sans CJK SC"/>
        <family val="2"/>
      </rPr>
      <t xml:space="preserve">어긋났던 친구와의 만남이나 대화 하나를 떠올려 내가 한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해 보고 싶은 말을 세 줄로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풀린 부분보다 내가 잘한 행동 하나를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</si>
  <si>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되짚어 보면 잘한 점이 먼저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아쉬운 부분은 다음에 해 볼 말의 재료가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 대신 회복할 방법에 마음이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</si>
  <si>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만남 되짚기</t>
    </r>
    <r>
      <rPr>
        <sz val="10"/>
        <rFont val="맑은 고딕"/>
        <family val="0"/>
        <charset val="1"/>
      </rPr>
      <t xml:space="preserve">(Reconstructing encounters - IPT)</t>
    </r>
  </si>
  <si>
    <t xml:space="preserve">NEW-REL-ASYNC-07</t>
  </si>
  <si>
    <t xml:space="preserve">같이 웃었던 표현 다시 꺼내기</t>
  </si>
  <si>
    <r>
      <rPr>
        <sz val="10"/>
        <rFont val="Noto Sans CJK SC"/>
        <family val="2"/>
      </rPr>
      <t xml:space="preserve">서먹해진 친구와 함께 웃었던 표현이나 장면을 떠올려 가벼운 안부의 소재로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사과나 설명 없이 짧은 메시지면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</si>
  <si>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웃었던 기억은 어색함을 녹이는 좋은 다리입니다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신호 하나가 다시 이어질 계기가 되기도 해요</t>
    </r>
    <r>
      <rPr>
        <sz val="10"/>
        <rFont val="맑은 고딕"/>
        <family val="0"/>
        <charset val="1"/>
      </rPr>
      <t xml:space="preserve">.</t>
    </r>
  </si>
  <si>
    <t xml:space="preserve">SELF-CARE-L1-05</t>
  </si>
  <si>
    <t xml:space="preserve">서두르지 않고 음료를 음미하며 잠시 멈추기</t>
  </si>
  <si>
    <r>
      <rPr>
        <sz val="10"/>
        <rFont val="Noto Sans CJK SC"/>
        <family val="2"/>
      </rPr>
      <t xml:space="preserve">관계 때문에 속상한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차나 좋아하는 음료를 한 잔 준비해 향과 온기를 천천히 느끼며 마셔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마시는 동안에는 휴대폰을 내려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</si>
  <si>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복잡할 때 몸의 감각에 머물면 생각의 속도가 느려져요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나를 달래는 시간이 있어야 다시 다가갈 힘도 생깁니다</t>
    </r>
    <r>
      <rPr>
        <sz val="10"/>
        <rFont val="맑은 고딕"/>
        <family val="0"/>
        <charset val="1"/>
      </rPr>
      <t xml:space="preserve">.</t>
    </r>
  </si>
  <si>
    <t xml:space="preserve">5~10 · 8~10 · -</t>
  </si>
  <si>
    <t xml:space="preserve">PRAC_REPAIR_MONEY</t>
  </si>
  <si>
    <t xml:space="preserve">THX-REBT-26</t>
  </si>
  <si>
    <r>
      <rPr>
        <sz val="10"/>
        <rFont val="Noto Sans CJK SC"/>
        <family val="2"/>
      </rPr>
      <t xml:space="preserve">자책 문장을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아쉬운 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줄로 바꾸기</t>
    </r>
  </si>
  <si>
    <r>
      <rPr>
        <sz val="10"/>
        <rFont val="Noto Sans CJK SC"/>
        <family val="2"/>
      </rPr>
      <t xml:space="preserve">돈을 많이 쓴 날이나 지출 계획이 틀어진 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떠오르면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부분이 아쉬웠다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다음엔 이렇게 해 보겠다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아쉬움은 남기고 나를 깎아내리는 말만 내려놓는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</si>
  <si>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아쉬웠어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자책을 덜어 내야 다음 지출을 조정할 힘이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</si>
  <si>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후회와 자책의 구분</t>
    </r>
    <r>
      <rPr>
        <sz val="10"/>
        <rFont val="맑은 고딕"/>
        <family val="0"/>
        <charset val="1"/>
      </rPr>
      <t xml:space="preserve">(Regret vs guilt - REBT, Ellis)</t>
    </r>
  </si>
  <si>
    <t xml:space="preserve">THX-MCP-10</t>
  </si>
  <si>
    <t xml:space="preserve">미뤄둔 작은 일 목록에서 가장 작은 하나 이번 주에 끝내기</t>
  </si>
  <si>
    <r>
      <rPr>
        <sz val="10"/>
        <rFont val="Noto Sans CJK SC"/>
        <family val="2"/>
      </rPr>
      <t xml:space="preserve">안 쓰는 구독 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영수증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공과금 확인처럼 마음에 걸린 채 미뤄 둔 생활 일을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작고 쉬운 하나를 골라 이번 주에 끝낸 뒤 기분을 한 줄 남깁니다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</si>
  <si>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별것 아닌데 오래 미룬 일이 마음 한구석을 무겁게 차지해요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하나를 끝내면 생활을 다시 내 손에 쥔 느낌이 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</si>
  <si>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마무리 못 한 일</t>
    </r>
    <r>
      <rPr>
        <sz val="10"/>
        <rFont val="맑은 고딕"/>
        <family val="0"/>
        <charset val="1"/>
      </rPr>
      <t xml:space="preserve">(Unfinished business, </t>
    </r>
    <r>
      <rPr>
        <sz val="10"/>
        <rFont val="Noto Sans CJK SC"/>
        <family val="2"/>
      </rPr>
      <t xml:space="preserve">작은 버전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Breitbart)</t>
    </r>
  </si>
  <si>
    <t xml:space="preserve">THX-CFT-21</t>
  </si>
  <si>
    <r>
      <rPr>
        <sz val="10"/>
        <rFont val="Noto Sans CJK SC"/>
        <family val="2"/>
      </rPr>
      <t xml:space="preserve">아무것도 안 한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이름 붙이기</t>
    </r>
  </si>
  <si>
    <r>
      <rPr>
        <sz val="10"/>
        <rFont val="Noto Sans CJK SC"/>
        <family val="2"/>
      </rPr>
      <t xml:space="preserve">오늘 아무것도 하지 않고 보낸 잠깐의 시간이 있었다면 그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이라는 이름을 붙여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돈이 들지 않는 쉼도 회복이라는 걸 기록으로 남기는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</si>
  <si>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아무것도 안 한 시간도 마음이 회복되는 시간일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붙이면 그 평온함을 미안함 없이 누릴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</si>
  <si>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진정시키기 체계</t>
    </r>
    <r>
      <rPr>
        <sz val="10"/>
        <rFont val="맑은 고딕"/>
        <family val="0"/>
        <charset val="1"/>
      </rPr>
      <t xml:space="preserve">(The safeness system - CFT)</t>
    </r>
  </si>
  <si>
    <t xml:space="preserve">3~5 · 5~15 · 1~2</t>
  </si>
  <si>
    <r>
      <rPr>
        <sz val="10"/>
        <rFont val="Noto Sans CJK SC"/>
        <family val="2"/>
      </rPr>
      <t xml:space="preserve">재정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돈 문제로 상한 마음 추스르기로 해석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원래 대인 상황용인 </t>
    </r>
    <r>
      <rPr>
        <sz val="10"/>
        <rFont val="맑은 고딕"/>
        <family val="0"/>
        <charset val="1"/>
      </rPr>
      <t xml:space="preserve">THX-REBT-26</t>
    </r>
    <r>
      <rPr>
        <sz val="10"/>
        <rFont val="Noto Sans CJK SC"/>
        <family val="2"/>
      </rPr>
      <t xml:space="preserve">을 지출 자책 장면으로 맞춤</t>
    </r>
    <r>
      <rPr>
        <sz val="10"/>
        <rFont val="맑은 고딕"/>
        <family val="0"/>
        <charset val="1"/>
      </rPr>
      <t xml:space="preserve">. THX-MCP-10 </t>
    </r>
    <r>
      <rPr>
        <sz val="10"/>
        <rFont val="Noto Sans CJK SC"/>
        <family val="2"/>
      </rPr>
      <t xml:space="preserve">원문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빌린 물건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고맙다는 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생활 정리 예시로 바꿈</t>
    </r>
    <r>
      <rPr>
        <sz val="10"/>
        <rFont val="맑은 고딕"/>
        <family val="0"/>
        <charset val="1"/>
      </rPr>
      <t xml:space="preserve">.</t>
    </r>
  </si>
  <si>
    <t xml:space="preserve">화면 위치</t>
  </si>
  <si>
    <t xml:space="preserve">문구</t>
  </si>
  <si>
    <t xml:space="preserve">FIX_DISCLAIMER</t>
  </si>
  <si>
    <r>
      <rPr>
        <sz val="10"/>
        <rFont val="Noto Sans CJK SC"/>
        <family val="2"/>
      </rPr>
      <t xml:space="preserve">모든 결과 화면 맨 아래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유료 공통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</si>
  <si>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점성술은 과학적으로 검증된 예측 도구가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결과는 자기 성찰을 위한 웰니스 콘텐츠입니다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결정은 현실의 정보와 전문가의 도움을 함께 살펴주세요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</si>
  <si>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문구 그대로 사용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 ‘살펴주세요’ 포함</t>
    </r>
    <r>
      <rPr>
        <sz val="10"/>
        <rFont val="맑은 고딕"/>
        <family val="0"/>
        <charset val="1"/>
      </rPr>
      <t xml:space="preserve">).</t>
    </r>
  </si>
  <si>
    <t xml:space="preserve">FIX_GRADE_A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</si>
  <si>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</si>
  <si>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시각까지 알려 주셔서 가장 정확한 차트로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모두 반영했어요</t>
    </r>
    <r>
      <rPr>
        <sz val="10"/>
        <rFont val="맑은 고딕"/>
        <family val="0"/>
        <charset val="1"/>
      </rPr>
      <t xml:space="preserve">.</t>
    </r>
  </si>
  <si>
    <t xml:space="preserve">FIX_GRADE_B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</si>
  <si>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시간대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</si>
  <si>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고르신 시간대를 기준으로 차트를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하우스는 그 시간대 안에서도 달라질 수 있어 참고로 봐 주세요</t>
    </r>
    <r>
      <rPr>
        <sz val="10"/>
        <rFont val="맑은 고딕"/>
        <family val="0"/>
        <charset val="1"/>
      </rPr>
      <t xml:space="preserve">.</t>
    </r>
  </si>
  <si>
    <t xml:space="preserve">FIX_GRADE_C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</si>
  <si>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</si>
  <si>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시간을 몰라 상승궁과 하우스는 빼고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달은 하루 사이에도 별자리를 옮길 수 있어서 달의 위치는 참고로만 봐 주세요</t>
    </r>
    <r>
      <rPr>
        <sz val="10"/>
        <rFont val="맑은 고딕"/>
        <family val="0"/>
        <charset val="1"/>
      </rPr>
      <t xml:space="preserve">.</t>
    </r>
  </si>
  <si>
    <t xml:space="preserve">FIX_ADD_TIME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</si>
  <si>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결과 상단 안내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버튼</t>
    </r>
  </si>
  <si>
    <r>
      <rPr>
        <sz val="10"/>
        <rFont val="Noto Sans CJK SC"/>
        <family val="2"/>
      </rPr>
      <t xml:space="preserve">태어난 시간을 알면 결과가 더 정확해져요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담긴 차트를 다시 볼 수 있습니다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태어난 시간 추가하기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</si>
  <si>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문구는 대괄호 안 ‘태어난 시간 추가하기’</t>
    </r>
    <r>
      <rPr>
        <sz val="10"/>
        <rFont val="맑은 고딕"/>
        <family val="0"/>
        <charset val="1"/>
      </rPr>
      <t xml:space="preserve">.</t>
    </r>
  </si>
  <si>
    <t xml:space="preserve">FIX_WHEEL_TIP_1</t>
  </si>
  <si>
    <r>
      <rPr>
        <sz val="10"/>
        <rFont val="Noto Sans CJK SC"/>
        <family val="2"/>
      </rPr>
      <t xml:space="preserve">출생차트 휠 첫 진입 말풍선 첫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바깥 고리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</si>
  <si>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바깥 고리는 열두 별자리예요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별자리 이름과 뜻이 나옵니다</t>
    </r>
    <r>
      <rPr>
        <sz val="10"/>
        <rFont val="맑은 고딕"/>
        <family val="0"/>
        <charset val="1"/>
      </rPr>
      <t xml:space="preserve">.</t>
    </r>
  </si>
  <si>
    <t xml:space="preserve">FIX_WHEEL_TIP_2</t>
  </si>
  <si>
    <r>
      <rPr>
        <sz val="10"/>
        <rFont val="Noto Sans CJK SC"/>
        <family val="2"/>
      </rPr>
      <t xml:space="preserve">출생차트 휠 첫 진입 말풍선 두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동그라미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</si>
  <si>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안쪽의 동그라미 하나하나가 행성입니다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그 행성이 내 차트에서 맡은 역할을 볼 수 있어요</t>
    </r>
    <r>
      <rPr>
        <sz val="10"/>
        <rFont val="맑은 고딕"/>
        <family val="0"/>
        <charset val="1"/>
      </rPr>
      <t xml:space="preserve">.</t>
    </r>
  </si>
  <si>
    <t xml:space="preserve">FIX_WHEEL_TIP_3</t>
  </si>
  <si>
    <r>
      <rPr>
        <sz val="10"/>
        <rFont val="Noto Sans CJK SC"/>
        <family val="2"/>
      </rPr>
      <t xml:space="preserve">출생차트 휠 첫 진입 말풍선 세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</si>
  <si>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행성 사이를 잇는 선은 행성끼리의 관계예요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선을 누르면 서로 돕는 사이인지 긴장하는 사이인지 알려 드립니다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</si>
  <si>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 색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디자인에서 쓴다면 ‘색으로 구분돼요’ 문장을 덧붙일 수 있습니다</t>
    </r>
    <r>
      <rPr>
        <sz val="10"/>
        <rFont val="맑은 고딕"/>
        <family val="0"/>
        <charset val="1"/>
      </rPr>
      <t xml:space="preserve">.</t>
    </r>
  </si>
  <si>
    <t xml:space="preserve">FIX_TIE_CHOICE</t>
  </si>
  <si>
    <t xml:space="preserve">캐릭터 동점 시 확인 화면 상단</t>
  </si>
  <si>
    <r>
      <rPr>
        <sz val="10"/>
        <rFont val="Noto Sans CJK SC"/>
        <family val="2"/>
      </rPr>
      <t xml:space="preserve">출생차트에서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요즘의 나와 더 가까운 건 어느 캐릭터인가요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쪽을 골라 주세요</t>
    </r>
    <r>
      <rPr>
        <sz val="10"/>
        <rFont val="맑은 고딕"/>
        <family val="0"/>
        <charset val="1"/>
      </rPr>
      <t xml:space="preserve">.</t>
    </r>
  </si>
  <si>
    <t xml:space="preserve">FIX_CANDIDATE_CHOICE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</si>
  <si>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캐릭터 후보 선택 화면 상단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</si>
  <si>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나와 더 닮은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</si>
  <si>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t xml:space="preserve">FIX_PAYWALL_BOX</t>
  </si>
  <si>
    <r>
      <rPr>
        <sz val="10"/>
        <rFont val="Noto Sans CJK SC"/>
        <family val="2"/>
      </rPr>
      <t xml:space="preserve">무료 결과 끝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 아래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결제 상자</t>
    </r>
  </si>
  <si>
    <r>
      <rPr>
        <sz val="10"/>
        <rFont val="Noto Sans CJK SC"/>
        <family val="2"/>
      </rPr>
      <t xml:space="preserve">연말까지 살펴볼 것부터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마음가짐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별이 주는 질문과 웰니스 제안까지 담긴 전체 리포트를 </t>
    </r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원에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전체 리포트 보기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</si>
  <si>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기간 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남은 수량 같은 긴박감 문구는 넣지 않았습니다</t>
    </r>
    <r>
      <rPr>
        <sz val="10"/>
        <rFont val="맑은 고딕"/>
        <family val="0"/>
        <charset val="1"/>
      </rPr>
      <t xml:space="preserve">.</t>
    </r>
  </si>
  <si>
    <t xml:space="preserve">FIX_SOWELLA_3DAY</t>
  </si>
  <si>
    <r>
      <rPr>
        <sz val="10"/>
        <rFont val="Noto Sans CJK SC"/>
        <family val="2"/>
      </rPr>
      <t xml:space="preserve">유료 리포트 맨 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고지 바로 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</si>
  <si>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</si>
  <si>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리포트 문구와 동일</t>
    </r>
    <r>
      <rPr>
        <sz val="10"/>
        <rFont val="맑은 고딕"/>
        <family val="0"/>
        <charset val="1"/>
      </rPr>
      <t xml:space="preserve">.</t>
    </r>
  </si>
  <si>
    <t xml:space="preserve">FIX_CARE_CARD</t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</si>
  <si>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두 번째 질문 그만하자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일 때 결과 하단 카드</t>
    </r>
  </si>
  <si>
    <r>
      <rPr>
        <sz val="10"/>
        <rFont val="Noto Sans CJK SC"/>
        <family val="2"/>
      </rPr>
      <t xml:space="preserve">올해 마음이 많이 무거웠다면 혼자 정리하지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받아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이야기 나누기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</si>
  <si>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진행을 막지 않는 카드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전문 상담 연결처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붙일지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</si>
  <si>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FIX_QUIET_DOMAIN</t>
  </si>
  <si>
    <t xml:space="preserve">첫 번째 질문 고민 영역에 트랜짓 이벤트가 없을 때 해당 문단</t>
  </si>
  <si>
    <r>
      <rPr>
        <sz val="10"/>
        <rFont val="Noto Sans CJK SC"/>
        <family val="2"/>
      </rPr>
      <t xml:space="preserve">지금 이 영역의 하늘은 조용한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</si>
  <si>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t xml:space="preserve">FIX_LOADING</t>
  </si>
  <si>
    <t xml:space="preserve">결과 생성 중 로딩 화면</t>
  </si>
  <si>
    <r>
      <rPr>
        <sz val="10"/>
        <rFont val="Noto Sans CJK SC"/>
        <family val="2"/>
      </rPr>
      <t xml:space="preserve">태어난 순간의 하늘을 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별자리와 행성의 자리를 하나씩 계산하는 중입니다</t>
    </r>
    <r>
      <rPr>
        <sz val="10"/>
        <rFont val="맑은 고딕"/>
        <family val="0"/>
        <charset val="1"/>
      </rPr>
      <t xml:space="preserve">.</t>
    </r>
  </si>
  <si>
    <t xml:space="preserve">FIX_PRIVACY_NOTE</t>
  </si>
  <si>
    <t xml:space="preserve">출생정보 입력 화면 하단</t>
  </si>
  <si>
    <r>
      <rPr>
        <sz val="10"/>
        <rFont val="Noto Sans CJK SC"/>
        <family val="2"/>
      </rPr>
      <t xml:space="preserve">생년월일과 태어난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장소는 출생차트를 계산하는 데에만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개인정보 처리방침에서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</si>
  <si>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보관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 방식은 실제 개인정보 처리방침과 맞춰 법무 확인이 필요합니다</t>
    </r>
    <r>
      <rPr>
        <sz val="10"/>
        <rFont val="맑은 고딕"/>
        <family val="0"/>
        <charset val="1"/>
      </rPr>
      <t xml:space="preserve">.</t>
    </r>
  </si>
  <si>
    <t xml:space="preserve">구분</t>
  </si>
  <si>
    <t xml:space="preserve">쉬운 별칭</t>
  </si>
  <si>
    <t xml:space="preserve">뜻 한 줄</t>
  </si>
  <si>
    <r>
      <rPr>
        <b val="true"/>
        <sz val="10"/>
        <color rgb="FFFDF6E9"/>
        <rFont val="Noto Sans CJK SC"/>
        <family val="2"/>
      </rPr>
      <t xml:space="preserve">휠 탭 시트 설명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</si>
  <si>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TERM_SUN</t>
  </si>
  <si>
    <t xml:space="preserve">나의 중심</t>
  </si>
  <si>
    <r>
      <rPr>
        <sz val="10"/>
        <rFont val="Noto Sans CJK SC"/>
        <family val="2"/>
      </rPr>
      <t xml:space="preserve">내가 어떤 사람으로 살고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중심과 자아를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</si>
  <si>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태양은 나를 움직이는 가장 큰 힘과 자아의 방향을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놓인 별자리와 자리는 내가 빛나고 싶은 방식을 알려 줘요</t>
    </r>
    <r>
      <rPr>
        <sz val="10"/>
        <rFont val="맑은 고딕"/>
        <family val="0"/>
        <charset val="1"/>
      </rPr>
      <t xml:space="preserve">.</t>
    </r>
  </si>
  <si>
    <t xml:space="preserve">TERM_MOON</t>
  </si>
  <si>
    <t xml:space="preserve">감정의 별</t>
  </si>
  <si>
    <r>
      <rPr>
        <sz val="10"/>
        <rFont val="Noto Sans CJK SC"/>
        <family val="2"/>
      </rPr>
      <t xml:space="preserve">마음이 편해지는 조건과 감정의 리듬을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</si>
  <si>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때 마음이 놓이고 어떤 때 흔들리는지 돌아보게 해 줍니다</t>
    </r>
    <r>
      <rPr>
        <sz val="10"/>
        <rFont val="맑은 고딕"/>
        <family val="0"/>
        <charset val="1"/>
      </rPr>
      <t xml:space="preserve">.</t>
    </r>
  </si>
  <si>
    <t xml:space="preserve">TERM_MERCURY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</si>
  <si>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</t>
    </r>
  </si>
  <si>
    <r>
      <rPr>
        <sz val="10"/>
        <rFont val="Noto Sans CJK SC"/>
        <family val="2"/>
      </rPr>
      <t xml:space="preserve">생각하고 말하고 연락하는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</si>
  <si>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정보를 받아들이고 마음을 말로 옮기는 방식을 비춰 줘요</t>
    </r>
    <r>
      <rPr>
        <sz val="10"/>
        <rFont val="맑은 고딕"/>
        <family val="0"/>
        <charset val="1"/>
      </rPr>
      <t xml:space="preserve">.</t>
    </r>
  </si>
  <si>
    <t xml:space="preserve">TERM_VENUS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</si>
  <si>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</si>
  <si>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맺는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감각을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</si>
  <si>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관계에서 편안함을 느끼는지 살펴보게 합니다</t>
    </r>
    <r>
      <rPr>
        <sz val="10"/>
        <rFont val="맑은 고딕"/>
        <family val="0"/>
        <charset val="1"/>
      </rPr>
      <t xml:space="preserve">.</t>
    </r>
  </si>
  <si>
    <t xml:space="preserve">TERM_MARS</t>
  </si>
  <si>
    <t xml:space="preserve">추진력의 별</t>
  </si>
  <si>
    <r>
      <rPr>
        <sz val="10"/>
        <rFont val="Noto Sans CJK SC"/>
        <family val="2"/>
      </rPr>
      <t xml:space="preserve">의욕이 생기는 계기와 그것을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</si>
  <si>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추진력을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무언가를 시작하고 밀고 나갈 때의 힘과 속도를 보여 줘요</t>
    </r>
    <r>
      <rPr>
        <sz val="10"/>
        <rFont val="맑은 고딕"/>
        <family val="0"/>
        <charset val="1"/>
      </rPr>
      <t xml:space="preserve">.</t>
    </r>
  </si>
  <si>
    <t xml:space="preserve">TERM_JUPITER</t>
  </si>
  <si>
    <t xml:space="preserve">확장의 별</t>
  </si>
  <si>
    <r>
      <rPr>
        <sz val="10"/>
        <rFont val="Noto Sans CJK SC"/>
        <family val="2"/>
      </rPr>
      <t xml:space="preserve">넓어지고 기회가 열리는 방향을 보여 주는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</si>
  <si>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확장과 기회를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목성이 지나는 자리는 마음과 경험이 넓어지기 쉬운 영역으로 읽습니다</t>
    </r>
    <r>
      <rPr>
        <sz val="10"/>
        <rFont val="맑은 고딕"/>
        <family val="0"/>
        <charset val="1"/>
      </rPr>
      <t xml:space="preserve">.</t>
    </r>
  </si>
  <si>
    <t xml:space="preserve">TERM_SATURN</t>
  </si>
  <si>
    <t xml:space="preserve">책임의 별</t>
  </si>
  <si>
    <r>
      <rPr>
        <sz val="10"/>
        <rFont val="Noto Sans CJK SC"/>
        <family val="2"/>
      </rPr>
      <t xml:space="preserve">삶의 구조와 책임을 점검하게 하는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</si>
  <si>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지나는 동안에는 무게가 느껴지지만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단단한 기반이 남기도 해요</t>
    </r>
    <r>
      <rPr>
        <sz val="10"/>
        <rFont val="맑은 고딕"/>
        <family val="0"/>
        <charset val="1"/>
      </rPr>
      <t xml:space="preserve">.</t>
    </r>
  </si>
  <si>
    <t xml:space="preserve">TERM_URANUS</t>
  </si>
  <si>
    <t xml:space="preserve">변화의 별</t>
  </si>
  <si>
    <r>
      <rPr>
        <sz val="10"/>
        <rFont val="Noto Sans CJK SC"/>
        <family val="2"/>
      </rPr>
      <t xml:space="preserve">뜻밖의 전환과 새로운 가능성을 불러오는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</si>
  <si>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천왕성은 갑작스러운 변화와 전환을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함께 새로운 제안이나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길이 열리는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</si>
  <si>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TERM_NEPTUNE</t>
  </si>
  <si>
    <r>
      <rPr>
        <sz val="10"/>
        <rFont val="Noto Sans CJK SC"/>
        <family val="2"/>
      </rPr>
      <t xml:space="preserve">흐릿함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꿈의 별</t>
    </r>
  </si>
  <si>
    <r>
      <rPr>
        <sz val="10"/>
        <rFont val="Noto Sans CJK SC"/>
        <family val="2"/>
      </rPr>
      <t xml:space="preserve">꿈과 영감을 주지만 방향을 잠시 흐릿하게 만드는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</si>
  <si>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해왕성은 꿈과 영감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흐릿함을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상상력이 커지는 만큼 현실의 경계가 흐려질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확인하며 가는 태도가 도움이 돼요</t>
    </r>
    <r>
      <rPr>
        <sz val="10"/>
        <rFont val="맑은 고딕"/>
        <family val="0"/>
        <charset val="1"/>
      </rPr>
      <t xml:space="preserve">.</t>
    </r>
  </si>
  <si>
    <t xml:space="preserve">TERM_PLUTO</t>
  </si>
  <si>
    <t xml:space="preserve">재탄생의 별</t>
  </si>
  <si>
    <r>
      <rPr>
        <sz val="10"/>
        <rFont val="Noto Sans CJK SC"/>
        <family val="2"/>
      </rPr>
      <t xml:space="preserve">깊은 곳에서 오래 걸려 일어나는 변형을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</si>
  <si>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명왕성은 깊은 변형과 재탄생을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그러나 깊게 무언가를 정리하고 새로 태어나게 하는 흐름으로 읽습니다</t>
    </r>
    <r>
      <rPr>
        <sz val="10"/>
        <rFont val="맑은 고딕"/>
        <family val="0"/>
        <charset val="1"/>
      </rPr>
      <t xml:space="preserve">.</t>
    </r>
  </si>
  <si>
    <t xml:space="preserve">TERM_ASC</t>
  </si>
  <si>
    <t xml:space="preserve">축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</si>
  <si>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(ASC)</t>
    </r>
  </si>
  <si>
    <t xml:space="preserve">첫인상의 자리</t>
  </si>
  <si>
    <r>
      <rPr>
        <sz val="10"/>
        <rFont val="Noto Sans CJK SC"/>
        <family val="2"/>
      </rPr>
      <t xml:space="preserve">나를 드러내는 방식과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몸의 리듬을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</si>
  <si>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상승궁은 태어난 순간 동쪽 지평선에 떠오르던 별자리입니다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나를 처음 만났을 때 느끼는 분위기와 내가 세상에 다가가는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</si>
  <si>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에서만 노출됩니다</t>
    </r>
    <r>
      <rPr>
        <sz val="10"/>
        <rFont val="맑은 고딕"/>
        <family val="0"/>
        <charset val="1"/>
      </rPr>
      <t xml:space="preserve">.</t>
    </r>
  </si>
  <si>
    <t xml:space="preserve">TERM_MC</t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</si>
  <si>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(MC)</t>
    </r>
  </si>
  <si>
    <t xml:space="preserve">커리어의 방향</t>
  </si>
  <si>
    <r>
      <rPr>
        <sz val="10"/>
        <rFont val="Noto Sans CJK SC"/>
        <family val="2"/>
      </rPr>
      <t xml:space="preserve">일과 사회적 역할이 향하는 방향을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</si>
  <si>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천정은 태어난 순간 하늘의 가장 높은 곳에 있던 지점이에요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사회에서 어떤 역할로 알려지고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비춰 줍니다</t>
    </r>
    <r>
      <rPr>
        <sz val="10"/>
        <rFont val="맑은 고딕"/>
        <family val="0"/>
        <charset val="1"/>
      </rPr>
      <t xml:space="preserve">.</t>
    </r>
  </si>
  <si>
    <t xml:space="preserve">TERM_CONJ</t>
  </si>
  <si>
    <t xml:space="preserve">각도</t>
  </si>
  <si>
    <t xml:space="preserve">겹치는 자리</t>
  </si>
  <si>
    <r>
      <rPr>
        <sz val="10"/>
        <rFont val="Noto Sans CJK SC"/>
        <family val="2"/>
      </rPr>
      <t xml:space="preserve">두 행성이 겹쳐 서로의 힘이 가장 강하게 섞이는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</si>
  <si>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합은 두 행성이 거의 같은 자리에서 만나는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가장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성격이 될지는 만나는 행성에 따라 달라져요</t>
    </r>
    <r>
      <rPr>
        <sz val="10"/>
        <rFont val="맑은 고딕"/>
        <family val="0"/>
        <charset val="1"/>
      </rPr>
      <t xml:space="preserve">.</t>
    </r>
  </si>
  <si>
    <t xml:space="preserve">TERM_SEXTILE</t>
  </si>
  <si>
    <t xml:space="preserve">육분</t>
  </si>
  <si>
    <t xml:space="preserve">자연스럽게 돕는 각도</t>
  </si>
  <si>
    <r>
      <rPr>
        <sz val="10"/>
        <rFont val="Noto Sans CJK SC"/>
        <family val="2"/>
      </rPr>
      <t xml:space="preserve">두 행성이 가볍게 손을 잡고 기회를 열어 주는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</si>
  <si>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육분은 두 행성이 서로를 부드럽게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조금만 움직이면 그 도움이 더 잘 살아나는 흐름으로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</si>
  <si>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가이드 공통 문체 규칙에 따라 육분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 별칭을 모두 ‘자연스럽게 돕는 각도’로 통일했습니다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휠 탭 시트에서 구분이 필요하면 육분 ‘가볍게 돕는 각도’로 나누는 안도 있습니다</t>
    </r>
    <r>
      <rPr>
        <sz val="10"/>
        <rFont val="맑은 고딕"/>
        <family val="0"/>
        <charset val="1"/>
      </rPr>
      <t xml:space="preserve">.</t>
    </r>
  </si>
  <si>
    <t xml:space="preserve">TERM_SQUARE</t>
  </si>
  <si>
    <t xml:space="preserve">사각</t>
  </si>
  <si>
    <t xml:space="preserve">긴장하는 각도</t>
  </si>
  <si>
    <r>
      <rPr>
        <sz val="10"/>
        <rFont val="Noto Sans CJK SC"/>
        <family val="2"/>
      </rPr>
      <t xml:space="preserve">두 행성이 부딪혀 압박을 주지만 그만큼 움직이게 만드는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</si>
  <si>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사각은 두 행성의 힘이 서로 엇갈리는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압박이 느껴지기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긴장이 변화와 성장의 계기가 되기도 해요</t>
    </r>
    <r>
      <rPr>
        <sz val="10"/>
        <rFont val="맑은 고딕"/>
        <family val="0"/>
        <charset val="1"/>
      </rPr>
      <t xml:space="preserve">.</t>
    </r>
  </si>
  <si>
    <t xml:space="preserve">TERM_TRINE</t>
  </si>
  <si>
    <t xml:space="preserve">삼분</t>
  </si>
  <si>
    <r>
      <rPr>
        <sz val="10"/>
        <rFont val="Noto Sans CJK SC"/>
        <family val="2"/>
      </rPr>
      <t xml:space="preserve">두 행성이 같은 결로 흐르며 일을 순조롭게 돕는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</si>
  <si>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삼분은 두 행성이 같은 원소의 결로 이어져 자연스럽게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들이지 않아도 흐름이 순하게 이어지기 쉬운 관계로 읽습니다</t>
    </r>
    <r>
      <rPr>
        <sz val="10"/>
        <rFont val="맑은 고딕"/>
        <family val="0"/>
        <charset val="1"/>
      </rPr>
      <t xml:space="preserve">.</t>
    </r>
  </si>
  <si>
    <t xml:space="preserve">TERM_OPPOSITION</t>
  </si>
  <si>
    <t xml:space="preserve">충</t>
  </si>
  <si>
    <t xml:space="preserve">마주 보는 자리</t>
  </si>
  <si>
    <r>
      <rPr>
        <sz val="10"/>
        <rFont val="Noto Sans CJK SC"/>
        <family val="2"/>
      </rPr>
      <t xml:space="preserve">두 행성이 정반대에서 마주 보며 균형을 묻는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</si>
  <si>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충은 두 행성이 하늘의 정반대 쪽에서 마주 보는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방향 사이에서 줄다리기가 느껴질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균형을 찾는 연습이 돼요</t>
    </r>
    <r>
      <rPr>
        <sz val="10"/>
        <rFont val="맑은 고딕"/>
        <family val="0"/>
        <charset val="1"/>
      </rPr>
      <t xml:space="preserve">.</t>
    </r>
  </si>
  <si>
    <t xml:space="preserve">TERM_H01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</si>
  <si>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</t>
    </r>
  </si>
  <si>
    <t xml:space="preserve">나 자신의 자리</t>
  </si>
  <si>
    <r>
      <rPr>
        <sz val="10"/>
        <rFont val="Noto Sans CJK SC"/>
        <family val="2"/>
      </rPr>
      <t xml:space="preserve">나 자신과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드러내는 방식을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</si>
  <si>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나라는 사람 자체와 몸의 리듬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첫인상을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이곳을 지나면 나를 보는 눈이나 보여 주는 방식이 달라지기 쉬워요</t>
    </r>
    <r>
      <rPr>
        <sz val="10"/>
        <rFont val="맑은 고딕"/>
        <family val="0"/>
        <charset val="1"/>
      </rPr>
      <t xml:space="preserve">.</t>
    </r>
  </si>
  <si>
    <t xml:space="preserve">TERM_H02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</si>
  <si>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</si>
  <si>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것의 자리</t>
    </r>
  </si>
  <si>
    <r>
      <rPr>
        <sz val="10"/>
        <rFont val="Noto Sans CJK SC"/>
        <family val="2"/>
      </rPr>
      <t xml:space="preserve">돈과 내가 가진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얼마나 귀하게 여기는지를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</si>
  <si>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기준은 어떤지 돌아보기 쉽습니다</t>
    </r>
    <r>
      <rPr>
        <sz val="10"/>
        <rFont val="맑은 고딕"/>
        <family val="0"/>
        <charset val="1"/>
      </rPr>
      <t xml:space="preserve">.</t>
    </r>
  </si>
  <si>
    <t xml:space="preserve">TERM_H03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</si>
  <si>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</si>
  <si>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자리</t>
    </r>
  </si>
  <si>
    <r>
      <rPr>
        <sz val="10"/>
        <rFont val="Noto Sans CJK SC"/>
        <family val="2"/>
      </rPr>
      <t xml:space="preserve">배움과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이웃과 형제를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</si>
  <si>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일상의 배움과 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연락을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생각을 나누고 새로 배우는 일이 활발해지기 쉬워요</t>
    </r>
    <r>
      <rPr>
        <sz val="10"/>
        <rFont val="맑은 고딕"/>
        <family val="0"/>
        <charset val="1"/>
      </rPr>
      <t xml:space="preserve">.</t>
    </r>
  </si>
  <si>
    <t xml:space="preserve">TERM_H04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</si>
  <si>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</si>
  <si>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</si>
  <si>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</si>
  <si>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돌아가 쉬는 곳을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생활 공간이나 마음의 안정에 대한 생각이 깊어지기 쉽습니다</t>
    </r>
    <r>
      <rPr>
        <sz val="10"/>
        <rFont val="맑은 고딕"/>
        <family val="0"/>
        <charset val="1"/>
      </rPr>
      <t xml:space="preserve">.</t>
    </r>
  </si>
  <si>
    <t xml:space="preserve">TERM_H05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</si>
  <si>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</si>
  <si>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</t>
    </r>
  </si>
  <si>
    <r>
      <rPr>
        <sz val="10"/>
        <rFont val="Noto Sans CJK SC"/>
        <family val="2"/>
      </rPr>
      <t xml:space="preserve">즐거움과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마음이 설레는 일을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</si>
  <si>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</si>
  <si>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연애는 </t>
    </r>
    <r>
      <rPr>
        <sz val="10"/>
        <rFont val="맑은 고딕"/>
        <family val="0"/>
        <charset val="1"/>
      </rPr>
      <t xml:space="preserve">meaning_line·detail</t>
    </r>
    <r>
      <rPr>
        <sz val="10"/>
        <rFont val="Noto Sans CJK SC"/>
        <family val="2"/>
      </rPr>
      <t xml:space="preserve">에 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별칭은 ‘즐거움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자리’로 짧게 했습니다</t>
    </r>
    <r>
      <rPr>
        <sz val="10"/>
        <rFont val="맑은 고딕"/>
        <family val="0"/>
        <charset val="1"/>
      </rPr>
      <t xml:space="preserve">.</t>
    </r>
  </si>
  <si>
    <t xml:space="preserve">TERM_H06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</si>
  <si>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</si>
  <si>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루틴의 자리</t>
    </r>
  </si>
  <si>
    <r>
      <rPr>
        <sz val="10"/>
        <rFont val="Noto Sans CJK SC"/>
        <family val="2"/>
      </rPr>
      <t xml:space="preserve">매일의 업무와 루틴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습관을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</si>
  <si>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반복되는 일과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 관리를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하루의 리듬과 일하는 방식을 정비하게 되기 쉽습니다</t>
    </r>
    <r>
      <rPr>
        <sz val="10"/>
        <rFont val="맑은 고딕"/>
        <family val="0"/>
        <charset val="1"/>
      </rPr>
      <t xml:space="preserve">.</t>
    </r>
  </si>
  <si>
    <t xml:space="preserve">TERM_H07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</si>
  <si>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</t>
    </r>
  </si>
  <si>
    <t xml:space="preserve">일대일 관계의 자리</t>
  </si>
  <si>
    <r>
      <rPr>
        <sz val="10"/>
        <rFont val="Noto Sans CJK SC"/>
        <family val="2"/>
      </rPr>
      <t xml:space="preserve">가까운 일대일 관계와 파트너를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</si>
  <si>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동료나 짝처럼 마주 보는 관계를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관계에서 주고받는 균형을 돌아보게 되기 쉬워요</t>
    </r>
    <r>
      <rPr>
        <sz val="10"/>
        <rFont val="맑은 고딕"/>
        <family val="0"/>
        <charset val="1"/>
      </rPr>
      <t xml:space="preserve">.</t>
    </r>
  </si>
  <si>
    <t xml:space="preserve">TERM_H08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</si>
  <si>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</t>
    </r>
  </si>
  <si>
    <t xml:space="preserve">깊은 유대의 자리</t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</si>
  <si>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</si>
  <si>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깊이 신뢰하는 관계와 함께 쓰는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내면의 변형을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오래 묻어 둔 마음을 정리하는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</si>
  <si>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</si>
  <si>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</si>
  <si>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여행의 자리</t>
    </r>
  </si>
  <si>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믿는 가치를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</si>
  <si>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먼 곳으로 떠나는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</si>
  <si>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t xml:space="preserve">TERM_H10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</si>
  <si>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</si>
  <si>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커리어의 자리</t>
    </r>
  </si>
  <si>
    <r>
      <rPr>
        <sz val="10"/>
        <rFont val="Noto Sans CJK SC"/>
        <family val="2"/>
      </rPr>
      <t xml:space="preserve">커리어와 사회적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</si>
  <si>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사회에서 맡는 역할과 일의 성과를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커리어의 방향이나 책임에 대한 고민이 커지기 쉽습니다</t>
    </r>
    <r>
      <rPr>
        <sz val="10"/>
        <rFont val="맑은 고딕"/>
        <family val="0"/>
        <charset val="1"/>
      </rPr>
      <t xml:space="preserve">.</t>
    </r>
  </si>
  <si>
    <t xml:space="preserve">TERM_H11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</si>
  <si>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</si>
  <si>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미래의 자리</t>
    </r>
  </si>
  <si>
    <r>
      <rPr>
        <sz val="10"/>
        <rFont val="Noto Sans CJK SC"/>
        <family val="2"/>
      </rPr>
      <t xml:space="preserve">사람들과 공동체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미래의 목표를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</si>
  <si>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돌아보기 좋아요</t>
    </r>
    <r>
      <rPr>
        <sz val="10"/>
        <rFont val="맑은 고딕"/>
        <family val="0"/>
        <charset val="1"/>
      </rPr>
      <t xml:space="preserve">.</t>
    </r>
  </si>
  <si>
    <t xml:space="preserve">TERM_H12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</si>
  <si>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</si>
  <si>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내면의 자리</t>
    </r>
  </si>
  <si>
    <r>
      <rPr>
        <sz val="10"/>
        <rFont val="Noto Sans CJK SC"/>
        <family val="2"/>
      </rPr>
      <t xml:space="preserve">쉼과 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곳에서의 정리를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</si>
  <si>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혼자만의 시간과 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마음속 정리를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겉으로 드러나지 않게 다음을 준비하는 시기가 되기 쉽습니다</t>
    </r>
    <r>
      <rPr>
        <sz val="10"/>
        <rFont val="맑은 고딕"/>
        <family val="0"/>
        <charset val="1"/>
      </rPr>
      <t xml:space="preserve">.</t>
    </r>
  </si>
  <si>
    <t xml:space="preserve">TERM_RX</t>
  </si>
  <si>
    <t xml:space="preserve">기타</t>
  </si>
  <si>
    <t xml:space="preserve">역행</t>
  </si>
  <si>
    <t xml:space="preserve">거꾸로 가는 듯한 때</t>
  </si>
  <si>
    <r>
      <rPr>
        <sz val="10"/>
        <rFont val="Noto Sans CJK SC"/>
        <family val="2"/>
      </rPr>
      <t xml:space="preserve">행성이 뒤로 가는 것처럼 보이는 기간으로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행성의 일을 다시 돌아보게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</si>
  <si>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역행은 지구에서 볼 때 행성이 잠시 거꾸로 움직이는 것처럼 보이는 현상입니다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일을 새로 벌이기보다 다시 살피고 고치기 좋은 때로 읽어요</t>
    </r>
    <r>
      <rPr>
        <sz val="10"/>
        <rFont val="맑은 고딕"/>
        <family val="0"/>
        <charset val="1"/>
      </rPr>
      <t xml:space="preserve">.</t>
    </r>
  </si>
  <si>
    <t xml:space="preserve">TERM_RETURN</t>
  </si>
  <si>
    <t xml:space="preserve">제자리로 돌아오는 때</t>
  </si>
  <si>
    <r>
      <rPr>
        <sz val="10"/>
        <rFont val="Noto Sans CJK SC"/>
        <family val="2"/>
      </rPr>
      <t xml:space="preserve">지금 하늘의 행성이 태어날 때의 자리로 돌아와 한 주기를 점검하게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</si>
  <si>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리턴은 행성이 한 바퀴를 돌아 내 출생차트의 같은 자리로 돌아오는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영역에서 지난 주기를 정리하고 다음을 준비하는 계기로 읽습니다</t>
    </r>
    <r>
      <rPr>
        <sz val="10"/>
        <rFont val="맑은 고딕"/>
        <family val="0"/>
        <charset val="1"/>
      </rPr>
      <t xml:space="preserve">.</t>
    </r>
  </si>
  <si>
    <t xml:space="preserve">TERM_TRANSIT</t>
  </si>
  <si>
    <t xml:space="preserve">트랜짓</t>
  </si>
  <si>
    <t xml:space="preserve">지금 하늘의 행성</t>
  </si>
  <si>
    <r>
      <rPr>
        <sz val="10"/>
        <rFont val="Noto Sans CJK SC"/>
        <family val="2"/>
      </rPr>
      <t xml:space="preserve">지금 하늘을 지나는 행성이 내 출생차트의 자리를 건드리는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</si>
  <si>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트랜짓은 지금 실제 하늘에서 움직이는 행성이 태어날 때의 행성과 각도를 이루는 것을 말합니다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시기별 흐름은 대부분 이 트랜짓을 바탕으로 읽어요</t>
    </r>
    <r>
      <rPr>
        <sz val="10"/>
        <rFont val="맑은 고딕"/>
        <family val="0"/>
        <charset val="1"/>
      </rPr>
      <t xml:space="preserve">.</t>
    </r>
  </si>
  <si>
    <t xml:space="preserve">TERM_INGRESS</t>
  </si>
  <si>
    <r>
      <rPr>
        <sz val="10"/>
        <rFont val="Noto Sans CJK SC"/>
        <family val="2"/>
      </rPr>
      <t xml:space="preserve">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인그레스</t>
    </r>
    <r>
      <rPr>
        <sz val="10"/>
        <rFont val="맑은 고딕"/>
        <family val="0"/>
        <charset val="1"/>
      </rPr>
      <t xml:space="preserve">)</t>
    </r>
  </si>
  <si>
    <t xml:space="preserve">새 별자리로 넘어가는 때</t>
  </si>
  <si>
    <r>
      <rPr>
        <sz val="10"/>
        <rFont val="Noto Sans CJK SC"/>
        <family val="2"/>
      </rPr>
      <t xml:space="preserve">행성이 다음 별자리로 넘어가 분위기가 바뀌는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</si>
  <si>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별자리 이동은 행성이 한 별자리를 지나 다음 별자리로 들어서는 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행성일수록 그 뒤로 오랫동안 이어질 분위기가 시작되는 출발선으로 읽습니다</t>
    </r>
    <r>
      <rPr>
        <sz val="10"/>
        <rFont val="맑은 고딕"/>
        <family val="0"/>
        <charset val="1"/>
      </rPr>
      <t xml:space="preserve">.</t>
    </r>
  </si>
  <si>
    <t xml:space="preserve">TERM_SOLAR_ECLIPSE</t>
  </si>
  <si>
    <t xml:space="preserve">일식</t>
  </si>
  <si>
    <t xml:space="preserve">새 출발의 신호</t>
  </si>
  <si>
    <r>
      <rPr>
        <sz val="10"/>
        <rFont val="Noto Sans CJK SC"/>
        <family val="2"/>
      </rPr>
      <t xml:space="preserve">해가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시작할 것을 떠올려 보게 하는 상징이에요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</si>
  <si>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일식은 달이 해를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새 장을 여는 신호로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서두르기보다 앞으로 키우고 싶은 것을 차분히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</si>
  <si>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공포 연상이 없도록 ‘새 출발의 신호’로만 썼습니다</t>
    </r>
    <r>
      <rPr>
        <sz val="10"/>
        <rFont val="맑은 고딕"/>
        <family val="0"/>
        <charset val="1"/>
      </rPr>
      <t xml:space="preserve">.</t>
    </r>
  </si>
  <si>
    <t xml:space="preserve">TERM_LUNAR_ECLIPSE</t>
  </si>
  <si>
    <t xml:space="preserve">월식</t>
  </si>
  <si>
    <t xml:space="preserve">마무리의 신호</t>
  </si>
  <si>
    <r>
      <rPr>
        <sz val="10"/>
        <rFont val="Noto Sans CJK SC"/>
        <family val="2"/>
      </rPr>
      <t xml:space="preserve">달이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정리하고 마무리할 것을 돌아보게 하는 상징입니다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</si>
  <si>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월식은 지구의 그림자가 달을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한 단락을 정리하는 신호로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놓아줄 것과 계속 가져갈 것을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</si>
  <si>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2027 </t>
    </r>
    <r>
      <rPr>
        <b val="true"/>
        <sz val="10"/>
        <color rgb="FFFDF6E9"/>
        <rFont val="Noto Sans CJK SC"/>
        <family val="2"/>
      </rPr>
      <t xml:space="preserve">바람</t>
    </r>
  </si>
  <si>
    <r>
      <rPr>
        <b val="true"/>
        <sz val="10"/>
        <color rgb="FFFDF6E9"/>
        <rFont val="Noto Sans CJK SC"/>
        <family val="2"/>
      </rPr>
      <t xml:space="preserve">대표 질문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두괄식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</si>
  <si>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1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</si>
  <si>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2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</si>
  <si>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3</t>
    </r>
  </si>
  <si>
    <r>
      <rPr>
        <b val="true"/>
        <sz val="10"/>
        <color rgb="FFFDF6E9"/>
        <rFont val="Noto Sans CJK SC"/>
        <family val="2"/>
      </rPr>
      <t xml:space="preserve">왜 이 질문인지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템플릿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</si>
  <si>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QB_LEAN_01</t>
  </si>
  <si>
    <t xml:space="preserve">누구와 함께 안정을 쌓아 갈 것인가</t>
  </si>
  <si>
    <r>
      <rPr>
        <sz val="10"/>
        <rFont val="Noto Sans CJK SC"/>
        <family val="2"/>
      </rPr>
      <t xml:space="preserve">최근 혼자 버티다가 누군가 곁에 있었으면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</si>
  <si>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놓이는 저녁을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함께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</si>
  <si>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사정을 조금 더 털어놓고 싶은 사람에게 어떤 말부터 꺼내 보고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</si>
  <si>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일에 에너지가 많이 드는 사람은 안정을 혼자 힘으로 만들려고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그래서 다가올 해의 안정은 무엇을 더 해내느냐보다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 짐을 나눌 수 있느냐에서 시작될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</si>
  <si>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headline_q</t>
    </r>
    <r>
      <rPr>
        <sz val="10"/>
        <rFont val="Noto Sans CJK SC"/>
        <family val="2"/>
      </rPr>
      <t xml:space="preserve">는 ‘별이 드리는 질문은 ‘…’입니다’ 문장에 끼워 넣도록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인가</t>
    </r>
    <r>
      <rPr>
        <sz val="10"/>
        <rFont val="맑은 고딕"/>
        <family val="0"/>
        <charset val="1"/>
      </rPr>
      <t xml:space="preserve">/~</t>
    </r>
    <r>
      <rPr>
        <sz val="10"/>
        <rFont val="Noto Sans CJK SC"/>
        <family val="2"/>
      </rPr>
      <t xml:space="preserve">것인가’ 꼴로 통일했습니다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why_template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역량 문장</t>
    </r>
    <r>
      <rPr>
        <sz val="10"/>
        <rFont val="맑은 고딕"/>
        <family val="0"/>
        <charset val="1"/>
      </rPr>
      <t xml:space="preserve">]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[</t>
    </r>
    <r>
      <rPr>
        <sz val="10"/>
        <rFont val="Noto Sans CJK SC"/>
        <family val="2"/>
      </rPr>
      <t xml:space="preserve">바람 문장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구조로 전 행에 기질문장 토큰을 넣었습니다</t>
    </r>
    <r>
      <rPr>
        <sz val="10"/>
        <rFont val="맑은 고딕"/>
        <family val="0"/>
        <charset val="1"/>
      </rPr>
      <t xml:space="preserve">.</t>
    </r>
  </si>
  <si>
    <t xml:space="preserve">QB_LEAN_02</t>
  </si>
  <si>
    <t xml:space="preserve">더 높이 뛰기 위해 누구의 손을 잡을 것인가</t>
  </si>
  <si>
    <r>
      <rPr>
        <sz val="10"/>
        <rFont val="Noto Sans CJK SC"/>
        <family val="2"/>
      </rPr>
      <t xml:space="preserve">새로운 일에 도전할 때 조언이나 도움을 구하고 싶은 사람을 떠올리면 누가 먼저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</si>
  <si>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끙끙대며 준비했던 일 가운데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누군가와 나눴다면 달랐을 것 같은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</si>
  <si>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걸음 더 나아갈 때 주변에 구체적으로 부탁하고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</si>
  <si>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도약도 혼자 준비해서 완성된 모습만 보여 주려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도움을 일찍 구할수록 준비의 무게가 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뛰어오를 힘은 오히려 커질 수 있어요</t>
    </r>
    <r>
      <rPr>
        <sz val="10"/>
        <rFont val="맑은 고딕"/>
        <family val="0"/>
        <charset val="1"/>
      </rPr>
      <t xml:space="preserve">.</t>
    </r>
  </si>
  <si>
    <t xml:space="preserve">QB_LEAN_03</t>
  </si>
  <si>
    <t xml:space="preserve">지친 마음을 누구 곁에서 내려놓을 것인가</t>
  </si>
  <si>
    <r>
      <rPr>
        <sz val="10"/>
        <rFont val="Noto Sans CJK SC"/>
        <family val="2"/>
      </rPr>
      <t xml:space="preserve">최근 가장 지쳤던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하루를 누구에게 이야기하고 싶었나요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</si>
  <si>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 곁에 있어서 마음이 조금 풀렸던 기억은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</si>
  <si>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힘들 때 받고 싶은 도움을 한 가지만 고른다면 어떤 모습의 도움인가요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</si>
  <si>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수 있는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</si>
  <si>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t xml:space="preserve">QB_LEAN_04</t>
  </si>
  <si>
    <r>
      <rPr>
        <sz val="10"/>
        <rFont val="Noto Sans CJK SC"/>
        <family val="2"/>
      </rPr>
      <t xml:space="preserve">사랑 안에서 어떻게 기대고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기댈 곳이 되어 줄 것인가</t>
    </r>
  </si>
  <si>
    <r>
      <rPr>
        <sz val="10"/>
        <rFont val="Noto Sans CJK SC"/>
        <family val="2"/>
      </rPr>
      <t xml:space="preserve">가까운 사람에게 기대고 싶었지만 꾹 참았던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</si>
  <si>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느끼는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상대는 어떤 행동을 하고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</si>
  <si>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요즘 바라는 작은 도움을 말로 옮긴다면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</si>
  <si>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사랑 안에서도 부담이 될까 봐 바라는 것을 삼키기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기대는 마음을 조금씩 보여 주는 연습이 관계를 더 가깝게 만드는 열쇠가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</si>
  <si>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관계와 관계 방식 중심으로 썼습니다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없는 사용자도 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친구로 읽을 수 있게</t>
    </r>
    <r>
      <rPr>
        <sz val="10"/>
        <rFont val="맑은 고딕"/>
        <family val="0"/>
        <charset val="1"/>
      </rPr>
      <t xml:space="preserve">).</t>
    </r>
  </si>
  <si>
    <t xml:space="preserve">QB_LEAN_05</t>
  </si>
  <si>
    <t xml:space="preserve">어떤 사람들과 서로 기대며 지낼 것인가</t>
  </si>
  <si>
    <r>
      <rPr>
        <sz val="10"/>
        <rFont val="Noto Sans CJK SC"/>
        <family val="2"/>
      </rPr>
      <t xml:space="preserve">부담 없이 도움을 주고받았던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관계의 어떤 점이 편했나요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</si>
  <si>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만나고 나면 마음이 가벼워지는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</si>
  <si>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가까워지고 싶은 사람에게 먼저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</si>
  <si>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사람에게 좋은 사람들이란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</si>
  <si>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t xml:space="preserve">QB_LEAN_06</t>
  </si>
  <si>
    <t xml:space="preserve">무엇을 맡기고 숨 돌릴 틈을 만들 것인가</t>
  </si>
  <si>
    <r>
      <rPr>
        <sz val="10"/>
        <rFont val="Noto Sans CJK SC"/>
        <family val="2"/>
      </rPr>
      <t xml:space="preserve">요즘 혼자 떠안고 있는 일 가운데 누군가에게 나눠도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</si>
  <si>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 편히 쉬었던 날을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</si>
  <si>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누군가에게 일을 맡길 때 마음에 걸리는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</si>
  <si>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부탁하기보다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</si>
  <si>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t xml:space="preserve">QB_LEAN_07</t>
  </si>
  <si>
    <t xml:space="preserve">누구와 함께 생활의 리듬을 지켜 갈 것인가</t>
  </si>
  <si>
    <r>
      <rPr>
        <sz val="10"/>
        <rFont val="Noto Sans CJK SC"/>
        <family val="2"/>
      </rPr>
      <t xml:space="preserve">오래 이어 갔던 습관을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습관을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</si>
  <si>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산책이나 잠자리 시간처럼 누군가와 함께하면 더 쉬워질 것 같은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</si>
  <si>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 리듬이 흐트러질 때 편하게 알릴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</si>
  <si>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생활 습관도 혼자 의지로만 지키려다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걷거나 서로 잠드는 시간을 알려 주는 작은 약속이 루틴을 오래 붙잡아 주는 힘이 될 수 있어요</t>
    </r>
    <r>
      <rPr>
        <sz val="10"/>
        <rFont val="맑은 고딕"/>
        <family val="0"/>
        <charset val="1"/>
      </rPr>
      <t xml:space="preserve">.</t>
    </r>
  </si>
  <si>
    <t xml:space="preserve">QB_LEAN_08</t>
  </si>
  <si>
    <t xml:space="preserve">돈 걱정을 누구와 나누고 어떤 기준을 세울 것인가</t>
  </si>
  <si>
    <r>
      <rPr>
        <sz val="10"/>
        <rFont val="Noto Sans CJK SC"/>
        <family val="2"/>
      </rPr>
      <t xml:space="preserve">돈 문제로 혼자 계산만 거듭했던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필요했던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</si>
  <si>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 이야기를 편하게 나눌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</si>
  <si>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‘이 정도면 넉넉하다’고 느껴지는 생활은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</si>
  <si>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돈 고민처럼 말하기 어려운 이야기를 특히 혼자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믿을 만한 사람과 생활의 기준을 함께 이야기해 보는 것만으로도 막연한 불안이 구체적인 계획으로 바뀔 수 있어요</t>
    </r>
    <r>
      <rPr>
        <sz val="10"/>
        <rFont val="맑은 고딕"/>
        <family val="0"/>
        <charset val="1"/>
      </rPr>
      <t xml:space="preserve">.</t>
    </r>
  </si>
  <si>
    <t xml:space="preserve">QB_LEAN_09</t>
  </si>
  <si>
    <t xml:space="preserve">누구에게 어떤 모습으로 인정받고 싶은가</t>
  </si>
  <si>
    <r>
      <rPr>
        <sz val="10"/>
        <rFont val="Noto Sans CJK SC"/>
        <family val="2"/>
      </rPr>
      <t xml:space="preserve">애써 해낸 일을 누군가 알아봐 주었으면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</si>
  <si>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받아 해낸 일도 나의 성과라고 느껴지려면 무엇이 필요할까요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</si>
  <si>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알아봐 주었으면 하는 사람에게 어떤 말을 듣고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</si>
  <si>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도움 없이 해내야 제대로 인정받는다고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해낸 성과도 온전히 내 것으로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인정받는 기쁨이 더 오래 머물 수 있어요</t>
    </r>
    <r>
      <rPr>
        <sz val="10"/>
        <rFont val="맑은 고딕"/>
        <family val="0"/>
        <charset val="1"/>
      </rPr>
      <t xml:space="preserve">.</t>
    </r>
  </si>
  <si>
    <t xml:space="preserve">QB_LEAN_10</t>
  </si>
  <si>
    <t xml:space="preserve">누구 앞에서 가장 나다운 모습이 되는가</t>
  </si>
  <si>
    <r>
      <rPr>
        <sz val="10"/>
        <rFont val="Noto Sans CJK SC"/>
        <family val="2"/>
      </rPr>
      <t xml:space="preserve">꾸미지 않은 모습으로 편하게 있을 수 있는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</si>
  <si>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청하는 내 모습을 떠올릴 때 드는 마음은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</si>
  <si>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앞으로 조금 더 솔직하게 보여 주고 싶은 내 모습은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</si>
  <si>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강하고 괜찮은 모습만 나답다고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기대고 싶은 마음까지 내 일부로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나다움은 더 넓고 편안해질 수 있어요</t>
    </r>
    <r>
      <rPr>
        <sz val="10"/>
        <rFont val="맑은 고딕"/>
        <family val="0"/>
        <charset val="1"/>
      </rPr>
      <t xml:space="preserve">.</t>
    </r>
  </si>
  <si>
    <t xml:space="preserve">QB_LEAN_11</t>
  </si>
  <si>
    <t xml:space="preserve">새로운 시작을 누구와 나누며 열 것인가</t>
  </si>
  <si>
    <r>
      <rPr>
        <sz val="10"/>
        <rFont val="Noto Sans CJK SC"/>
        <family val="2"/>
      </rPr>
      <t xml:space="preserve">새로운 일을 시작하려 할 때 가장 먼저 이야기하고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</si>
  <si>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시작했다가 누군가의 도움이 아쉬웠던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</si>
  <si>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곁의 사람에게 부탁하고 싶은 작은 도움은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</si>
  <si>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새로운 시작도 혼자 다 준비한 뒤에야 알리려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시작하는 마음을 일찍 나눌수록 낯선 길의 첫걸음이 한결 가벼워질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</si>
  <si>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‘새로운 시작’은 마스터스펙 </t>
    </r>
    <r>
      <rPr>
        <sz val="10"/>
        <rFont val="맑은 고딕"/>
        <family val="0"/>
        <charset val="1"/>
      </rPr>
      <t xml:space="preserve">5-2 v3</t>
    </r>
    <r>
      <rPr>
        <sz val="10"/>
        <rFont val="Noto Sans CJK SC"/>
        <family val="2"/>
      </rPr>
      <t xml:space="preserve">의 추가 후보 바람</t>
    </r>
    <r>
      <rPr>
        <sz val="10"/>
        <rFont val="맑은 고딕"/>
        <family val="0"/>
        <charset val="1"/>
      </rPr>
      <t xml:space="preserve">(1·9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나 자신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확정 전 노출 여부를 확인 부탁드립니다</t>
    </r>
    <r>
      <rPr>
        <sz val="10"/>
        <rFont val="맑은 고딕"/>
        <family val="0"/>
        <charset val="1"/>
      </rPr>
      <t xml:space="preserve">.</t>
    </r>
  </si>
  <si>
    <t xml:space="preserve">QB_TRUST_01</t>
  </si>
  <si>
    <t xml:space="preserve">무엇이 있으면 마음을 놓을 수 있는가</t>
  </si>
  <si>
    <r>
      <rPr>
        <sz val="10"/>
        <rFont val="Noto Sans CJK SC"/>
        <family val="2"/>
      </rPr>
      <t xml:space="preserve">최근 걱정이 잦아들고 마음이 놓였던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</si>
  <si>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 가장 먼저 확인하게 되는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</si>
  <si>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흔들리는 날에도 변하지 않고 곁에 있는 것을 떠올리면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</si>
  <si>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안정을 바랄수록 확인하고 대비하는 일에 힘을 많이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나를 받치고 있는 것들을 알아보는 일이 안정으로 가는 첫걸음이 될 수 있어요</t>
    </r>
    <r>
      <rPr>
        <sz val="10"/>
        <rFont val="맑은 고딕"/>
        <family val="0"/>
        <charset val="1"/>
      </rPr>
      <t xml:space="preserve">.</t>
    </r>
  </si>
  <si>
    <t xml:space="preserve">QB_TRUST_02</t>
  </si>
  <si>
    <t xml:space="preserve">확신이 다 서지 않아도 내디딜 수 있는 한 걸음은 무엇인가</t>
  </si>
  <si>
    <r>
      <rPr>
        <sz val="10"/>
        <rFont val="Noto Sans CJK SC"/>
        <family val="2"/>
      </rPr>
      <t xml:space="preserve">해 보고 싶었지만 ‘아직은 아니야’ 하며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</si>
  <si>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결과를 알 수 없는 일을 시작했을 때 마음을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</si>
  <si>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도전이 계획대로 되지 않아도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</si>
  <si>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모든 것이 확실해질 때까지 출발을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완벽한 확신 대신 돌아올 자리를 마련해 두는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</si>
  <si>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QB_TRUST_03</t>
  </si>
  <si>
    <t xml:space="preserve">무엇을 믿고 긴장을 내려놓을 것인가</t>
  </si>
  <si>
    <r>
      <rPr>
        <sz val="10"/>
        <rFont val="Noto Sans CJK SC"/>
        <family val="2"/>
      </rPr>
      <t xml:space="preserve">몸은 쉬고 있는데 마음은 계속 긴장하고 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</si>
  <si>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‘이제 괜찮다’고 느끼며 깊이 쉬었던 기억을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</si>
  <si>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걱정을 잠시 내려놓기 위해 나에게 해 주고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</si>
  <si>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쉬는 동안에도 다음 걱정을 미리 챙기느라 회복이 더디기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회복은 할 일을 멈추는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마음을 놓아도 된다고 스스로 허락하는 데서 시작돼요</t>
    </r>
    <r>
      <rPr>
        <sz val="10"/>
        <rFont val="맑은 고딕"/>
        <family val="0"/>
        <charset val="1"/>
      </rPr>
      <t xml:space="preserve">.</t>
    </r>
  </si>
  <si>
    <t xml:space="preserve">QB_TRUST_04</t>
  </si>
  <si>
    <t xml:space="preserve">사랑 안에서 무엇을 믿고 마음을 열 것인가</t>
  </si>
  <si>
    <r>
      <rPr>
        <sz val="10"/>
        <rFont val="Noto Sans CJK SC"/>
        <family val="2"/>
      </rPr>
      <t xml:space="preserve">가까운 사람의 답장이 늦을 때 마음속에 떠오르는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</si>
  <si>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믿게 해 주는 작은 행동은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</si>
  <si>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 안에서 확인하고 싶은 마음이 들 때 나를 안심시키는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</si>
  <si>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사랑 안에서도 상대의 마음을 거듭 확인하고 싶어지기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확인보다 이미 받은 다정함을 기억하는 연습이 사랑을 더 편안하게 만들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</si>
  <si>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안정감 중심</t>
    </r>
    <r>
      <rPr>
        <sz val="10"/>
        <rFont val="맑은 고딕"/>
        <family val="0"/>
        <charset val="1"/>
      </rPr>
      <t xml:space="preserve">.</t>
    </r>
  </si>
  <si>
    <t xml:space="preserve">QB_TRUST_05</t>
  </si>
  <si>
    <t xml:space="preserve">어떤 사람 곁에서 마음을 놓을 수 있는가</t>
  </si>
  <si>
    <r>
      <rPr>
        <sz val="10"/>
        <rFont val="Noto Sans CJK SC"/>
        <family val="2"/>
      </rPr>
      <t xml:space="preserve">처음에는 조심스러웠지만 점점 편해진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마음이 열렸나요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</si>
  <si>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함께 있을 때 긴장이 풀리는 사람들에게는 어떤 공통점이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</si>
  <si>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믿어 보고 싶은 관계는 누구와의 관계인가요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</si>
  <si>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새로운 관계에 마음을 여는 데 시간이 필요합니다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인연은 천천히 믿음을 쌓아도 괜찮은 관계에서 자라는 경우가 많아요</t>
    </r>
    <r>
      <rPr>
        <sz val="10"/>
        <rFont val="맑은 고딕"/>
        <family val="0"/>
        <charset val="1"/>
      </rPr>
      <t xml:space="preserve">.</t>
    </r>
  </si>
  <si>
    <t xml:space="preserve">QB_TRUST_06</t>
  </si>
  <si>
    <t xml:space="preserve">모든 것을 대비하지 않아도 괜찮은 틈은 어디인가</t>
  </si>
  <si>
    <r>
      <rPr>
        <sz val="10"/>
        <rFont val="Noto Sans CJK SC"/>
        <family val="2"/>
      </rPr>
      <t xml:space="preserve">계획이 틀어졌는데도 생각보다 괜찮았던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</si>
  <si>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미리 걱정하느라 즐기지 못했던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마음은 어디에 가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</si>
  <si>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느슨하게 두어도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</si>
  <si>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만일을 대비하느라 여유가 있어야 할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</si>
  <si>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t xml:space="preserve">QB_TRUST_07</t>
  </si>
  <si>
    <t xml:space="preserve">어떤 루틴이 마음을 놓게 해 주는가</t>
  </si>
  <si>
    <r>
      <rPr>
        <sz val="10"/>
        <rFont val="Noto Sans CJK SC"/>
        <family val="2"/>
      </rPr>
      <t xml:space="preserve">하루를 마칠 때 마음이 차분해지는 습관은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</si>
  <si>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잠들기 전 걱정이 이어지는 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생각을 내려놓는 데 도움이 됐던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</si>
  <si>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같은 시간에 해서 하루의 기둥이 되어 줄 작은 습관은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</si>
  <si>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사람에게는 예측할 수 있는 하루의 흐름이 든든한 버팀목이 될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매일 반복되는 작은 루틴은 생활을 정돈해 줄 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기준이 되어 줘요</t>
    </r>
    <r>
      <rPr>
        <sz val="10"/>
        <rFont val="맑은 고딕"/>
        <family val="0"/>
        <charset val="1"/>
      </rPr>
      <t xml:space="preserve">.</t>
    </r>
  </si>
  <si>
    <t xml:space="preserve">QB_TRUST_08</t>
  </si>
  <si>
    <t xml:space="preserve">마음이 놓이는 나만의 생활 기준은 무엇인가</t>
  </si>
  <si>
    <r>
      <rPr>
        <sz val="10"/>
        <rFont val="Noto Sans CJK SC"/>
        <family val="2"/>
      </rPr>
      <t xml:space="preserve">돈 걱정이 가장 커졌던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가장 불안했나요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</si>
  <si>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통장을 볼 때 마음이 편해지는 상태를 말로 옮기면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</si>
  <si>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비상금이나 고정 지출처럼 마음이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</si>
  <si>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돈이 늘어도 ‘아직 부족하다’는 불안이 쉽게 가라앉지 않을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막연한 목표 대신 마음이 놓이는 생활의 기준을 구체적으로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여유를 느끼는 순간이 더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</si>
  <si>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투자 언급 없이 생활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비상금 수준으로만 썼습니다</t>
    </r>
    <r>
      <rPr>
        <sz val="10"/>
        <rFont val="맑은 고딕"/>
        <family val="0"/>
        <charset val="1"/>
      </rPr>
      <t xml:space="preserve">.</t>
    </r>
  </si>
  <si>
    <t xml:space="preserve">QB_TRUST_09</t>
  </si>
  <si>
    <t xml:space="preserve">남의 평가 없이도 믿을 수 있는 나의 노력은 무엇인가</t>
  </si>
  <si>
    <r>
      <rPr>
        <sz val="10"/>
        <rFont val="Noto Sans CJK SC"/>
        <family val="2"/>
      </rPr>
      <t xml:space="preserve">칭찬을 들었는데도 마음이 놓이지 않았던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</si>
  <si>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알아주지 않아도 스스로 잘했다고 느꼈던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</si>
  <si>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해낸 일을 스스로 확인할 수 있는 방법은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</si>
  <si>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인정을 받아도 그 말을 온전히 믿기까지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바깥의 평가와 함께 스스로 확인할 수 있는 기록을 쌓아 갈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마음에 더 오래 남을 수 있어요</t>
    </r>
    <r>
      <rPr>
        <sz val="10"/>
        <rFont val="맑은 고딕"/>
        <family val="0"/>
        <charset val="1"/>
      </rPr>
      <t xml:space="preserve">.</t>
    </r>
  </si>
  <si>
    <t xml:space="preserve">QB_TRUST_10</t>
  </si>
  <si>
    <t xml:space="preserve">흔들려도 믿을 수 있는 나의 중심은 무엇인가</t>
  </si>
  <si>
    <r>
      <rPr>
        <sz val="10"/>
        <rFont val="Noto Sans CJK SC"/>
        <family val="2"/>
      </rPr>
      <t xml:space="preserve">남의 반응을 살피느라 내 선택을 바꿨던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</si>
  <si>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상황에서도 지키고 싶은 나만의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</si>
  <si>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나를 믿는다고 느꼈던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무엇을 하고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</si>
  <si>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바깥의 반응에 따라 나에 대한 믿음도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흔들리지 않는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흔들린 뒤에도 돌아갈 나의 기준을 아는 데서 단단해져요</t>
    </r>
    <r>
      <rPr>
        <sz val="10"/>
        <rFont val="맑은 고딕"/>
        <family val="0"/>
        <charset val="1"/>
      </rPr>
      <t xml:space="preserve">.</t>
    </r>
  </si>
  <si>
    <t xml:space="preserve">QB_TRUST_11</t>
  </si>
  <si>
    <t xml:space="preserve">모든 것이 확실하지 않아도 무엇을 믿고 시작할 것인가</t>
  </si>
  <si>
    <r>
      <rPr>
        <sz val="10"/>
        <rFont val="Noto Sans CJK SC"/>
        <family val="2"/>
      </rPr>
      <t xml:space="preserve">시작하고 싶었지만 확신이 서지 않아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</si>
  <si>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낯선 일을 처음 시작했을 때 나를 버티게 해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</si>
  <si>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새로운 시작이 생각과 다르게 흘러가도 돌아올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</si>
  <si>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 출발 앞에서 앞일이 다 보일 때까지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확신보다 이미 나를 받쳐 주는 것을 알아보는 일이 첫걸음을 도울 수 있어요</t>
    </r>
    <r>
      <rPr>
        <sz val="10"/>
        <rFont val="맑은 고딕"/>
        <family val="0"/>
        <charset val="1"/>
      </rPr>
      <t xml:space="preserve">.</t>
    </r>
  </si>
  <si>
    <t xml:space="preserve">QB_BOUND_01</t>
  </si>
  <si>
    <t xml:space="preserve">안정을 지키기 위해 어디에 선을 그을 것인가</t>
  </si>
  <si>
    <r>
      <rPr>
        <sz val="10"/>
        <rFont val="Noto Sans CJK SC"/>
        <family val="2"/>
      </rPr>
      <t xml:space="preserve">부탁을 들어준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</si>
  <si>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일상이 흔들리지 않으려면 지켜야 할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</si>
  <si>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정중하게 사양해 보고 싶은 일이 있다면 어떤 말로 전하고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</si>
  <si>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받아들이지 않을지 정하는 것이 먼저일 수 있어요</t>
    </r>
    <r>
      <rPr>
        <sz val="10"/>
        <rFont val="맑은 고딕"/>
        <family val="0"/>
        <charset val="1"/>
      </rPr>
      <t xml:space="preserve">.</t>
    </r>
  </si>
  <si>
    <t xml:space="preserve">QB_BOUND_02</t>
  </si>
  <si>
    <t xml:space="preserve">도약을 위해 무엇을 거절하고 무엇에 집중할 것인가</t>
  </si>
  <si>
    <r>
      <rPr>
        <sz val="10"/>
        <rFont val="Noto Sans CJK SC"/>
        <family val="2"/>
      </rPr>
      <t xml:space="preserve">남의 일을 돕느라 내 계획이 뒤로 밀렸던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미뤄진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</si>
  <si>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가장 집중하고 싶은 일 하나를 고른다면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</si>
  <si>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일을 지키기 위해 줄이거나 사양하고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</si>
  <si>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요청에 응하다 보면 도약에 쓸 시간과 힘이 흩어지기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한 곳에 힘을 모으려면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거절도 앞으로 나아가는 선택이라는 감각이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</si>
  <si>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QB_BOUND_03</t>
  </si>
  <si>
    <t xml:space="preserve">회복을 위해 지켜야 할 나의 경계는 어디인가</t>
  </si>
  <si>
    <r>
      <rPr>
        <sz val="10"/>
        <rFont val="Noto Sans CJK SC"/>
        <family val="2"/>
      </rPr>
      <t xml:space="preserve">쉬려고 했는데 연락이나 부탁 때문에 쉬지 못했던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</si>
  <si>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온전히 나만을 위해 쓰고 싶은 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</si>
  <si>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날 ‘오늘은 어렵다’고 말한다면 어떤 표현이 가장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</si>
  <si>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지쳐 있어도 남의 요청을 먼저 챙기다 회복할 틈을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시간에도 경계를 세워 두는 것이 가장 실질적인 돌봄이 될 수 있어요</t>
    </r>
    <r>
      <rPr>
        <sz val="10"/>
        <rFont val="맑은 고딕"/>
        <family val="0"/>
        <charset val="1"/>
      </rPr>
      <t xml:space="preserve">.</t>
    </r>
  </si>
  <si>
    <t xml:space="preserve">QB_BOUND_04</t>
  </si>
  <si>
    <t xml:space="preserve">사랑 안에서 나를 지키는 선은 어디인가</t>
  </si>
  <si>
    <r>
      <rPr>
        <sz val="10"/>
        <rFont val="Noto Sans CJK SC"/>
        <family val="2"/>
      </rPr>
      <t xml:space="preserve">가까운 사람에게 맞추다가 나를 잃은 것 같았던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</si>
  <si>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사랑하는 사이에서도 꼭 지키고 싶은 나만의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</si>
  <si>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서운하지 않게 ‘이건 어려워’라고 말한다면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</si>
  <si>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가까운 관계일수록 거절이 상처가 될까 봐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선은 거리를 만드는 벽이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곁에 머물 수 있게 해 주는 울타리에 가까워요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</si>
  <si>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경계 중심</t>
    </r>
    <r>
      <rPr>
        <sz val="10"/>
        <rFont val="맑은 고딕"/>
        <family val="0"/>
        <charset val="1"/>
      </rPr>
      <t xml:space="preserve">.</t>
    </r>
  </si>
  <si>
    <t xml:space="preserve">QB_BOUND_05</t>
  </si>
  <si>
    <r>
      <rPr>
        <sz val="10"/>
        <rFont val="Noto Sans CJK SC"/>
        <family val="2"/>
      </rPr>
      <t xml:space="preserve">누구와 가까이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누구와는 적당히 지낼 것인가</t>
    </r>
  </si>
  <si>
    <r>
      <rPr>
        <sz val="10"/>
        <rFont val="Noto Sans CJK SC"/>
        <family val="2"/>
      </rPr>
      <t xml:space="preserve">만나고 나면 유난히 지치는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힘이 빠지나요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</si>
  <si>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거절해도 관계가 흔들리지 않았던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</si>
  <si>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시간을 더 쓰고 싶은 관계와 조금 덜 쓰고 싶은 관계는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</si>
  <si>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관계에 같은 힘을 쓰다가 정작 좋은 사람들에게 쓸 마음이 남지 않기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관계마다 거리를 다르게 두는 것이 소중한 사람들과 더 깊어지는 방법이 될 수 있어요</t>
    </r>
    <r>
      <rPr>
        <sz val="10"/>
        <rFont val="맑은 고딕"/>
        <family val="0"/>
        <charset val="1"/>
      </rPr>
      <t xml:space="preserve">.</t>
    </r>
  </si>
  <si>
    <t xml:space="preserve">QB_BOUND_06</t>
  </si>
  <si>
    <t xml:space="preserve">여유를 위해 무엇을 내 몫에서 덜어 낼 것인가</t>
  </si>
  <si>
    <r>
      <rPr>
        <sz val="10"/>
        <rFont val="Noto Sans CJK SC"/>
        <family val="2"/>
      </rPr>
      <t xml:space="preserve">‘이건 내 일이 아닌데’ 싶으면서도 맡았던 일은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</si>
  <si>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일정표에 아무것도 없는 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</si>
  <si>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번쯤 내려놓아도 괜찮을 역할은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</si>
  <si>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거절하지 못한 일들로 일정이 채워져 여유가 사라지기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시간이 남을 때 생기기보다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몫과 남의 몫을 나누는 선에서 만들어져요</t>
    </r>
    <r>
      <rPr>
        <sz val="10"/>
        <rFont val="맑은 고딕"/>
        <family val="0"/>
        <charset val="1"/>
      </rPr>
      <t xml:space="preserve">.</t>
    </r>
  </si>
  <si>
    <t xml:space="preserve">QB_BOUND_07</t>
  </si>
  <si>
    <t xml:space="preserve">내 생활 리듬을 지키기 위해 무엇에 선을 그을 것인가</t>
  </si>
  <si>
    <r>
      <rPr>
        <sz val="10"/>
        <rFont val="Noto Sans CJK SC"/>
        <family val="2"/>
      </rPr>
      <t xml:space="preserve">늦은 연락이나 갑작스러운 약속 때문에 생활 리듬이 흐트러졌던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</si>
  <si>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잠드는 시간이나 식사 시간처럼 꼭 지키고 싶은 생활의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</si>
  <si>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기준을 지키기 위해 주변에 미리 알려 두고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</si>
  <si>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일정에 맞추다 보면 잠과 식사 같은 기본 리듬부터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생활은 새 습관을 더하는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이미 있는 루틴을 지켜 내는 선에서 시작돼요</t>
    </r>
    <r>
      <rPr>
        <sz val="10"/>
        <rFont val="맑은 고딕"/>
        <family val="0"/>
        <charset val="1"/>
      </rPr>
      <t xml:space="preserve">.</t>
    </r>
  </si>
  <si>
    <t xml:space="preserve">QB_BOUND_08</t>
  </si>
  <si>
    <t xml:space="preserve">돈과 관련해 어디까지가 나의 몫인가</t>
  </si>
  <si>
    <r>
      <rPr>
        <sz val="10"/>
        <rFont val="Noto Sans CJK SC"/>
        <family val="2"/>
      </rPr>
      <t xml:space="preserve">거절하지 못해 쓰게 된 돈을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어떤 마음이 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</si>
  <si>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모임비나 선물처럼 관계 때문에 나가는 지출에 나만의 기준을 세운다면 어떤 모습일까요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</si>
  <si>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편한 생활을 위해 줄이고 싶은 지출은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</si>
  <si>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관계를 지키려다 내 생활비의 선까지 넘기기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많이 버는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 쓸지 스스로 정해 두는 기준에서 생겨요</t>
    </r>
    <r>
      <rPr>
        <sz val="10"/>
        <rFont val="맑은 고딕"/>
        <family val="0"/>
        <charset val="1"/>
      </rPr>
      <t xml:space="preserve">.</t>
    </r>
  </si>
  <si>
    <t xml:space="preserve">QB_BOUND_09</t>
  </si>
  <si>
    <t xml:space="preserve">인정받기 위해 넘지 않아야 할 선은 어디인가</t>
  </si>
  <si>
    <r>
      <rPr>
        <sz val="10"/>
        <rFont val="Noto Sans CJK SC"/>
        <family val="2"/>
      </rPr>
      <t xml:space="preserve">인정받고 싶어서 무리하게 맡았던 일은 어떤 장면으로 기억되나요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</si>
  <si>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거절하면서도 존중받는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사람은 어떻게 말하나요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</si>
  <si>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능력을 보여 주고 싶은 일과 정중히 사양하고 싶은 일은 각각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</si>
  <si>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인정을 바랄수록 무리한 요청까지 받아들이기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할 수 있는 일과 어려운 일을 분명히 말할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오히려 더 믿을 만한 사람으로 인정받을 수 있어요</t>
    </r>
    <r>
      <rPr>
        <sz val="10"/>
        <rFont val="맑은 고딕"/>
        <family val="0"/>
        <charset val="1"/>
      </rPr>
      <t xml:space="preserve">.</t>
    </r>
  </si>
  <si>
    <t xml:space="preserve">QB_BOUND_10</t>
  </si>
  <si>
    <t xml:space="preserve">나를 나답게 지켜 주는 선은 무엇인가</t>
  </si>
  <si>
    <r>
      <rPr>
        <sz val="10"/>
        <rFont val="Noto Sans CJK SC"/>
        <family val="2"/>
      </rPr>
      <t xml:space="preserve">남의 기대에 맞추다가 ‘이건 내가 아닌데’ 싶었던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</si>
  <si>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뭐라 해도 양보하고 싶지 않은 나의 가치는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</si>
  <si>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나다운 선을 지켰던 순간을 떠올리면 어떤 감정이 남아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</si>
  <si>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상대에게 맞추는 사이 내가 원하는 것이 흐려지기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무엇을 받아들이고 무엇을 사양할지 스스로 정하는 순간마다 조금씩 또렷해져요</t>
    </r>
    <r>
      <rPr>
        <sz val="10"/>
        <rFont val="맑은 고딕"/>
        <family val="0"/>
        <charset val="1"/>
      </rPr>
      <t xml:space="preserve">.</t>
    </r>
  </si>
  <si>
    <t xml:space="preserve">QB_BOUND_11</t>
  </si>
  <si>
    <t xml:space="preserve">새로 시작하기 위해 무엇을 내려놓을 것인가</t>
  </si>
  <si>
    <r>
      <rPr>
        <sz val="10"/>
        <rFont val="Noto Sans CJK SC"/>
        <family val="2"/>
      </rPr>
      <t xml:space="preserve">새로운 일을 하고 싶었지만 맡은 일들에 밀려 시작하지 못했던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</si>
  <si>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위해 비워 두고 싶은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</si>
  <si>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이제는 정중하게 내려놓고 싶은 역할이나 약속은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</si>
  <si>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기존의 부탁과 역할을 다 안고 가느라 새로운 시작에 쓸 자리가 부족해지기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출발의 공간은 무엇을 더할지보다 무엇을 내려놓을지 정할 때 생겨나요</t>
    </r>
    <r>
      <rPr>
        <sz val="10"/>
        <rFont val="맑은 고딕"/>
        <family val="0"/>
        <charset val="1"/>
      </rPr>
      <t xml:space="preserve">.</t>
    </r>
  </si>
  <si>
    <t xml:space="preserve">QB_SPEAK_01</t>
  </si>
  <si>
    <t xml:space="preserve">마음을 놓기 위해 꺼내야 할 말은 무엇인가</t>
  </si>
  <si>
    <r>
      <rPr>
        <sz val="10"/>
        <rFont val="Noto Sans CJK SC"/>
        <family val="2"/>
      </rPr>
      <t xml:space="preserve">하고 싶은 말을 삼킨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</si>
  <si>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생각을 편하게 말할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</si>
  <si>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안정을 위해 가까운 사람에게 미리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</si>
  <si>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갈등을 피하려고 말을 아끼다가 마음속 불안을 키우기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말을 작게라도 꺼내 두는 것이 오히려 관계를 단단하게 만들 수 있어요</t>
    </r>
    <r>
      <rPr>
        <sz val="10"/>
        <rFont val="맑은 고딕"/>
        <family val="0"/>
        <charset val="1"/>
      </rPr>
      <t xml:space="preserve">.</t>
    </r>
  </si>
  <si>
    <t xml:space="preserve">QB_SPEAK_02</t>
  </si>
  <si>
    <t xml:space="preserve">도약을 위해 꺼내 놓을 나의 목소리는 무엇인가</t>
  </si>
  <si>
    <r>
      <rPr>
        <sz val="10"/>
        <rFont val="Noto Sans CJK SC"/>
        <family val="2"/>
      </rPr>
      <t xml:space="preserve">좋은 생각이 있었는데 말하지 않고 넘어간 회의나 대화는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</si>
  <si>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하고 싶은 일을 한 문장으로 소개한다면 어떻게 말하고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</si>
  <si>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계획을 처음으로 들려주고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</si>
  <si>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도약의 문은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열리기도 해요</t>
    </r>
    <r>
      <rPr>
        <sz val="10"/>
        <rFont val="맑은 고딕"/>
        <family val="0"/>
        <charset val="1"/>
      </rPr>
      <t xml:space="preserve">.</t>
    </r>
  </si>
  <si>
    <t xml:space="preserve">QB_SPEAK_03</t>
  </si>
  <si>
    <t xml:space="preserve">지친 마음을 어떤 말로 꺼내 놓을 것인가</t>
  </si>
  <si>
    <r>
      <rPr>
        <sz val="10"/>
        <rFont val="Noto Sans CJK SC"/>
        <family val="2"/>
      </rPr>
      <t xml:space="preserve">힘들다는 말 대신 ‘괜찮아’라고 답했던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</si>
  <si>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상태를 날씨로 표현한다면 어떤 날씨인가요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</si>
  <si>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마음을 털어놓을 때 들어 주는 사람에게 바라는 반응은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</si>
  <si>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지쳐도 말로 꺼내지 못해 혼자 오래 버티기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상태를 한 문장으로라도 말해 보는 일이 쉬는 것만큼 중요한 열쇠가 될 수 있어요</t>
    </r>
    <r>
      <rPr>
        <sz val="10"/>
        <rFont val="맑은 고딕"/>
        <family val="0"/>
        <charset val="1"/>
      </rPr>
      <t xml:space="preserve">.</t>
    </r>
  </si>
  <si>
    <t xml:space="preserve">QB_SPEAK_04</t>
  </si>
  <si>
    <t xml:space="preserve">사랑하는 사람에게 아직 전하지 못한 말은 무엇인가</t>
  </si>
  <si>
    <r>
      <rPr>
        <sz val="10"/>
        <rFont val="Noto Sans CJK SC"/>
        <family val="2"/>
      </rPr>
      <t xml:space="preserve">소중한 사람에게 서운했지만 말하지 않고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</si>
  <si>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고맙다거나 좋다는 마음을 표현할 때 나에게 가장 편한 방식은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</si>
  <si>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사람에게 요즘 바라는 것을 부드럽게 말한다면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</si>
  <si>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사랑하는 사이일수록 말하지 않아도 알아주길 바라기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마음을 말로 건네는 작은 연습이 오해를 줄이고 사랑을 더 가깝게 느끼게 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</si>
  <si>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관계의 표현 중심</t>
    </r>
    <r>
      <rPr>
        <sz val="10"/>
        <rFont val="맑은 고딕"/>
        <family val="0"/>
        <charset val="1"/>
      </rPr>
      <t xml:space="preserve">.</t>
    </r>
  </si>
  <si>
    <t xml:space="preserve">QB_SPEAK_05</t>
  </si>
  <si>
    <t xml:space="preserve">좋은 사람들과 어떤 대화를 나누고 싶은가</t>
  </si>
  <si>
    <r>
      <rPr>
        <sz val="10"/>
        <rFont val="Noto Sans CJK SC"/>
        <family val="2"/>
      </rPr>
      <t xml:space="preserve">대화가 잘 통해서 시간 가는 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</si>
  <si>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여러 사람 사이에서 말을 꺼내기 망설여질 때 마음속에서는 어떤 생각이 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</si>
  <si>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사람들과 더 자주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</si>
  <si>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듣는 쪽에 머물다 보니 관계가 깊어지기까지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관계는 내 이야기를 조금씩 나눌 때 서로를 알아 가며 자라나요</t>
    </r>
    <r>
      <rPr>
        <sz val="10"/>
        <rFont val="맑은 고딕"/>
        <family val="0"/>
        <charset val="1"/>
      </rPr>
      <t xml:space="preserve">.</t>
    </r>
  </si>
  <si>
    <t xml:space="preserve">QB_SPEAK_06</t>
  </si>
  <si>
    <t xml:space="preserve">여유를 위해 어떤 말을 미루지 않고 꺼낼 것인가</t>
  </si>
  <si>
    <r>
      <rPr>
        <sz val="10"/>
        <rFont val="Noto Sans CJK SC"/>
        <family val="2"/>
      </rPr>
      <t xml:space="preserve">‘지금은 어려워’라는 말을 꺼내지 못해 일정이 빠듯해졌던 장면은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</si>
  <si>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속에 담아 둔 말이 많을 때 마음은 어떤 상태가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</si>
  <si>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여유를 위해 주변에 솔직하게 알리고 싶은 나의 사정은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</si>
  <si>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상황을 설명하는 대신 혼자 감당하다가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지금의 사정을 짧게라도 말로 알리는 것이 숨 돌릴 틈을 만드는 현실적인 방법이 될 수 있어요</t>
    </r>
    <r>
      <rPr>
        <sz val="10"/>
        <rFont val="맑은 고딕"/>
        <family val="0"/>
        <charset val="1"/>
      </rPr>
      <t xml:space="preserve">.</t>
    </r>
  </si>
  <si>
    <t xml:space="preserve">QB_SPEAK_07</t>
  </si>
  <si>
    <t xml:space="preserve">생활 리듬을 지키기 위해 어떤 말을 해 둘 것인가</t>
  </si>
  <si>
    <r>
      <rPr>
        <sz val="10"/>
        <rFont val="Noto Sans CJK SC"/>
        <family val="2"/>
      </rPr>
      <t xml:space="preserve">피곤하다는 말을 삼키고 일정을 이어 갔던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</si>
  <si>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하루의 리듬을 지키기 위해 가족이나 동료에게 알려 두고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</si>
  <si>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습관을 시작할 때 누군가에게 소리 내어 말해 둔다면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</si>
  <si>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피로나 필요를 말하지 않아 생활 리듬이 남의 일정에 끌려가기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지키고 싶은 루틴을 주변에 말해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습관을 이어 가는 약속이 되어 주기도 해요</t>
    </r>
    <r>
      <rPr>
        <sz val="10"/>
        <rFont val="맑은 고딕"/>
        <family val="0"/>
        <charset val="1"/>
      </rPr>
      <t xml:space="preserve">.</t>
    </r>
  </si>
  <si>
    <t xml:space="preserve">QB_SPEAK_08</t>
  </si>
  <si>
    <t xml:space="preserve">돈에 관해 미뤄 둔 말은 무엇인가</t>
  </si>
  <si>
    <r>
      <rPr>
        <sz val="10"/>
        <rFont val="Noto Sans CJK SC"/>
        <family val="2"/>
      </rPr>
      <t xml:space="preserve">돈 이야기를 꺼내기 어려워 불편했던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</si>
  <si>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보수나 생활비처럼 말하기 어려운 돈 이야기를 한다면 누구와 먼저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</si>
  <si>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경제적 여유란 어떤 생활인지 한 문장으로 적는다면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</si>
  <si>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돈 이야기를 불편해하다가 필요한 요청이나 조정을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내 기준을 말로 정리해 보는 것만으로도 경제적 여유를 향한 길이 한결 또렷해질 수 있어요</t>
    </r>
    <r>
      <rPr>
        <sz val="10"/>
        <rFont val="맑은 고딕"/>
        <family val="0"/>
        <charset val="1"/>
      </rPr>
      <t xml:space="preserve">.</t>
    </r>
  </si>
  <si>
    <t xml:space="preserve">QB_SPEAK_09</t>
  </si>
  <si>
    <t xml:space="preserve">내가 해낸 일을 어떻게 말할 것인가</t>
  </si>
  <si>
    <r>
      <rPr>
        <sz val="10"/>
        <rFont val="Noto Sans CJK SC"/>
        <family val="2"/>
      </rPr>
      <t xml:space="preserve">열심히 한 일을 말하지 않아 아무도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</si>
  <si>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성과를 자랑이 아니라 설명으로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</si>
  <si>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알리고 싶은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</si>
  <si>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말하지 않아도 결과가 알려 주리라 믿고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담담하게 설명하는 연습이 생각보다 큰 차이를 만들 수 있어요</t>
    </r>
    <r>
      <rPr>
        <sz val="10"/>
        <rFont val="맑은 고딕"/>
        <family val="0"/>
        <charset val="1"/>
      </rPr>
      <t xml:space="preserve">.</t>
    </r>
  </si>
  <si>
    <t xml:space="preserve">QB_SPEAK_10</t>
  </si>
  <si>
    <t xml:space="preserve">어떤 말을 할 때 가장 나다운가</t>
  </si>
  <si>
    <r>
      <rPr>
        <sz val="10"/>
        <rFont val="Noto Sans CJK SC"/>
        <family val="2"/>
      </rPr>
      <t xml:space="preserve">분위기에 맞추느라 내 생각과 다른 말을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</si>
  <si>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말하고 나서 ‘이게 진짜 내 생각이야’라고 느꼈던 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</si>
  <si>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자주 말하고 싶은 나의 생각이나 취향은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</si>
  <si>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분위기를 살피다 보면 내 생각보다 무난한 말을 고르기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거창한 선언보다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대화 속에서 내 생각을 한 문장씩 꺼내는 데서 자라나요</t>
    </r>
    <r>
      <rPr>
        <sz val="10"/>
        <rFont val="맑은 고딕"/>
        <family val="0"/>
        <charset val="1"/>
      </rPr>
      <t xml:space="preserve">.</t>
    </r>
  </si>
  <si>
    <t xml:space="preserve">QB_SPEAK_11</t>
  </si>
  <si>
    <t xml:space="preserve">새로운 시작을 어떤 말로 꺼낼 것인가</t>
  </si>
  <si>
    <r>
      <rPr>
        <sz val="10"/>
        <rFont val="Noto Sans CJK SC"/>
        <family val="2"/>
      </rPr>
      <t xml:space="preserve">해 보고 싶은 일이 있었지만 입 밖에 내지 못하고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</si>
  <si>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 배우거나 가 보고 싶은 길을 누군가에게 설명한다면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</si>
  <si>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시작하고 싶은 일을 소리 내어 말해 두면 마음이 어떻게 달라질 것 같나요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</si>
  <si>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새로운 시작도 확실해질 때까지 마음속에만 담아 두기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하고 싶은 일을 먼저 말로 꺼내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시작을 붙잡아 주는 첫 약속이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</si>
  <si>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QB_REPAIR_01</t>
  </si>
  <si>
    <t xml:space="preserve">어긋난 뒤에도 다시 이어질 수 있다는 믿음을 어떻게 쌓을 것인가</t>
  </si>
  <si>
    <r>
      <rPr>
        <sz val="10"/>
        <rFont val="Noto Sans CJK SC"/>
        <family val="2"/>
      </rPr>
      <t xml:space="preserve">다툰 뒤 다시 편해지기까지 시간이 오래 걸렸던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그 시간을 길게 만들었나요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</si>
  <si>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갈등이 있었지만 오히려 가까워졌던 경험은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</si>
  <si>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어긋났을 때 먼저 건넬 수 있는 짧은 한마디를 정해 둔다면 어떤 말일까요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</si>
  <si>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작은 다툼에도 관계 전체가 흔들리는 것처럼 느끼기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없는 상태보다 어긋나도 다시 이어지는 경험을 쌓는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</si>
  <si>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QB_REPAIR_02</t>
  </si>
  <si>
    <t xml:space="preserve">부딪힘을 지나 더 나아가려면 무엇이 필요한가</t>
  </si>
  <si>
    <r>
      <rPr>
        <sz val="10"/>
        <rFont val="Noto Sans CJK SC"/>
        <family val="2"/>
      </rPr>
      <t xml:space="preserve">의견이 부딪힌 뒤 한동안 일에 집중하기 어려웠던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</si>
  <si>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피드백이나 반대 의견을 들은 뒤 다시 힘을 냈던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</si>
  <si>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도전하며 생길 수 있는 마찰을 어떻게 다루고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</si>
  <si>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생길까 봐 새로운 도전 앞에서 한 발 물러서기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도약에는 크고 작은 부딪힘이 함께 오기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대화를 여는 힘이 앞으로 나아가는 바탕이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</si>
  <si>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QB_REPAIR_03</t>
  </si>
  <si>
    <t xml:space="preserve">마음에 남은 앙금을 어떻게 풀어낼 것인가</t>
  </si>
  <si>
    <r>
      <rPr>
        <sz val="10"/>
        <rFont val="Noto Sans CJK SC"/>
        <family val="2"/>
      </rPr>
      <t xml:space="preserve">지난 다툼이 자꾸 떠올라 쉬는 시간에도 마음이 무거웠던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</si>
  <si>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아직 마음에 남아 있는 서운함을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바라는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</si>
  <si>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다시 잇든 잠시 두든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먼저 돌보기 위해 할 수 있는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</si>
  <si>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풀리지 않은 갈등이 쉬는 동안에도 마음을 붙잡아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바로 해결하는 것보다 내 마음에 남은 서운함부터 알아주는 일이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</si>
  <si>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역량 ‘회복하기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갈등 뒤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와 바람 ‘회복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지친 마음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이 겹쳐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해결보다 내 마음 돌봄을 앞에 두었습니다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화해를 강요하지 않도록 세 번째 질문에 ‘잠시 두든’을 넣었습니다</t>
    </r>
    <r>
      <rPr>
        <sz val="10"/>
        <rFont val="맑은 고딕"/>
        <family val="0"/>
        <charset val="1"/>
      </rPr>
      <t xml:space="preserve">.</t>
    </r>
  </si>
  <si>
    <t xml:space="preserve">QB_REPAIR_04</t>
  </si>
  <si>
    <t xml:space="preserve">사랑하는 사람과 어긋났을 때 어떻게 다시 다가갈 것인가</t>
  </si>
  <si>
    <r>
      <rPr>
        <sz val="10"/>
        <rFont val="Noto Sans CJK SC"/>
        <family val="2"/>
      </rPr>
      <t xml:space="preserve">가까운 사람과 다툰 뒤 먼저 말을 걸기 어려웠던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</si>
  <si>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화해했다고 느낀 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나 사이에는 어떤 말이나 행동이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</si>
  <si>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어긋난 뒤 소중한 사람에게 건네고 싶은 다정한 한마디는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</si>
  <si>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사랑하는 사이일수록 다툼 뒤의 어색함을 오래 견디기 어렵습니다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다투지 않는 것보다 다툰 뒤 다시 다가가는 나만의 방식을 아는 것이 관계를 지켜 주는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</si>
  <si>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 없이 이미 있는 관계의 회복 방식 중심</t>
    </r>
    <r>
      <rPr>
        <sz val="10"/>
        <rFont val="맑은 고딕"/>
        <family val="0"/>
        <charset val="1"/>
      </rPr>
      <t xml:space="preserve">.</t>
    </r>
  </si>
  <si>
    <t xml:space="preserve">QB_REPAIR_05</t>
  </si>
  <si>
    <t xml:space="preserve">서운함이 생겨도 이어 가고 싶은 관계는 누구인가</t>
  </si>
  <si>
    <r>
      <rPr>
        <sz val="10"/>
        <rFont val="Noto Sans CJK SC"/>
        <family val="2"/>
      </rPr>
      <t xml:space="preserve">서운한 일 뒤에 자연스럽게 멀어진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전하지 못한 마음은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</si>
  <si>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작은 오해를 웃으며 풀었던 사람과의 장면은 어떤 모습이었나요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</si>
  <si>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다시 안부를 전해 보고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</si>
  <si>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생기면 관계를 조용히 정리하는 쪽을 택하기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사람들은 어긋남이 없는 관계보다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서운함을 지나 다시 이어진 관계에서 남는 경우가 많아요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</si>
  <si>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번째 질문이 후회를 자극하지 않는지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</si>
  <si>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QB_REPAIR_06</t>
  </si>
  <si>
    <t xml:space="preserve">풀리지 않은 갈등에 쓰는 마음을 어떻게 덜어 낼 것인가</t>
  </si>
  <si>
    <r>
      <rPr>
        <sz val="10"/>
        <rFont val="Noto Sans CJK SC"/>
        <family val="2"/>
      </rPr>
      <t xml:space="preserve">지난 대화를 머릿속으로 계속 되짚느라 쉬지 못했던 밤은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</si>
  <si>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지금 당장 풀지 않아도 괜찮은 갈등을 떠올린다면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</si>
  <si>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복잡할 때 생각을 잠시 내려놓게 해 주는 나만의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</si>
  <si>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빼앗기기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</si>
  <si>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t xml:space="preserve">QB_REPAIR_07</t>
  </si>
  <si>
    <t xml:space="preserve">마음이 상한 날에도 지킬 생활의 리듬은 무엇인가</t>
  </si>
  <si>
    <r>
      <rPr>
        <sz val="10"/>
        <rFont val="Noto Sans CJK SC"/>
        <family val="2"/>
      </rPr>
      <t xml:space="preserve">누군가와 다툰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잠이나 식사 같은 생활 리듬은 어떻게 달라졌나요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</si>
  <si>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속상한 일이 있어도 꼭 지키고 싶은 하루의 습관은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</si>
  <si>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어수선한 날 나를 다시 일상으로 데려와 주는 작은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</si>
  <si>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관계가 어긋나면 잠과 식사 같은 생활 리듬까지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감정이 출렁이는 날에도 지킬 작은 루틴을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돌아올 자리가 생겨요</t>
    </r>
    <r>
      <rPr>
        <sz val="10"/>
        <rFont val="맑은 고딕"/>
        <family val="0"/>
        <charset val="1"/>
      </rPr>
      <t xml:space="preserve">.</t>
    </r>
  </si>
  <si>
    <t xml:space="preserve">QB_REPAIR_08</t>
  </si>
  <si>
    <t xml:space="preserve">돈 때문에 생긴 불편함을 어떻게 풀어 갈 것인가</t>
  </si>
  <si>
    <r>
      <rPr>
        <sz val="10"/>
        <rFont val="Noto Sans CJK SC"/>
        <family val="2"/>
      </rPr>
      <t xml:space="preserve">돈 문제로 가까운 사람과 서먹해졌던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불편했던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</si>
  <si>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 이야기로 생긴 오해를 풀 때 어떤 방식이 서로에게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</si>
  <si>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지출에 대해 미리 나눠 두면 마음이 편해질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</si>
  <si>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돈 문제로 생긴 어색함을 꺼내지 못하고 오래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금액만의 문제가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이야기를 편하게 나누고 정리할 수 있는 관계에서도 자라요</t>
    </r>
    <r>
      <rPr>
        <sz val="10"/>
        <rFont val="맑은 고딕"/>
        <family val="0"/>
        <charset val="1"/>
      </rPr>
      <t xml:space="preserve">.</t>
    </r>
  </si>
  <si>
    <t xml:space="preserve">QB_REPAIR_09</t>
  </si>
  <si>
    <t xml:space="preserve">서운한 평가 뒤에 어떻게 다시 일어설 것인가</t>
  </si>
  <si>
    <r>
      <rPr>
        <sz val="10"/>
        <rFont val="Noto Sans CJK SC"/>
        <family val="2"/>
      </rPr>
      <t xml:space="preserve">지적이나 비판을 들은 뒤 한동안 마음이 가라앉았던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</si>
  <si>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서운한 평가를 받은 뒤에도 관계를 잘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</si>
  <si>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나를 인정해 주었으면 하는 사람과 어떤 대화를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</si>
  <si>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인정받고 싶은 마음이 클수록 비판 한마디에 오래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어긋난 평가 뒤에도 다시 대화를 이어 가는 힘이 쌓일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인정은 더 단단한 신뢰로 돌아올 수 있어요</t>
    </r>
    <r>
      <rPr>
        <sz val="10"/>
        <rFont val="맑은 고딕"/>
        <family val="0"/>
        <charset val="1"/>
      </rPr>
      <t xml:space="preserve">.</t>
    </r>
  </si>
  <si>
    <t xml:space="preserve">QB_REPAIR_10</t>
  </si>
  <si>
    <t xml:space="preserve">갈등 앞에서도 나답게 남는 방법은 무엇인가</t>
  </si>
  <si>
    <r>
      <rPr>
        <sz val="10"/>
        <rFont val="Noto Sans CJK SC"/>
        <family val="2"/>
      </rPr>
      <t xml:space="preserve">갈등을 빨리 끝내려고 내 마음과 다르게 물러섰던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</si>
  <si>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다툰 뒤에도 내 마음을 솔직하게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</si>
  <si>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지키면서도 나를 잃지 않았다고 느낀 경험은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</si>
  <si>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관계를 되돌리려다 내 마음을 뒤로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갈등을 피하는 데서가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뒤에도 내 마음을 지키며 다시 다가가는 방식에서 드러나요</t>
    </r>
    <r>
      <rPr>
        <sz val="10"/>
        <rFont val="맑은 고딕"/>
        <family val="0"/>
        <charset val="1"/>
      </rPr>
      <t xml:space="preserve">.</t>
    </r>
  </si>
  <si>
    <t xml:space="preserve">QB_REPAIR_11</t>
  </si>
  <si>
    <t xml:space="preserve">새로운 시작 앞에서 생기는 엇갈림을 어떻게 다룰 것인가</t>
  </si>
  <si>
    <r>
      <rPr>
        <sz val="10"/>
        <rFont val="Noto Sans CJK SC"/>
        <family val="2"/>
      </rPr>
      <t xml:space="preserve">새로운 선택을 했을 때 가까운 사람과 생각이 엇갈렸던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</si>
  <si>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결정을 이해받지 못했을 때도 관계를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</si>
  <si>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소중한 사람에게 미리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</si>
  <si>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누군가 서운해할까 봐 새로운 시작을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출발에는 작은 엇갈림이 따르기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마음을 잇는 힘이 시작을 지켜 주는 바탕이 될 수 있어요</t>
    </r>
    <r>
      <rPr>
        <sz val="10"/>
        <rFont val="맑은 고딕"/>
        <family val="0"/>
        <charset val="1"/>
      </rPr>
      <t xml:space="preserve">.</t>
    </r>
  </si>
  <si>
    <t xml:space="preserve">태양 원소</t>
  </si>
  <si>
    <t xml:space="preserve">달 원소</t>
  </si>
  <si>
    <r>
      <rPr>
        <b val="true"/>
        <sz val="10"/>
        <color rgb="FFFDF6E9"/>
        <rFont val="Noto Sans CJK SC"/>
        <family val="2"/>
      </rPr>
      <t xml:space="preserve">태양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달 대비 문단</t>
    </r>
  </si>
  <si>
    <r>
      <rPr>
        <b val="true"/>
        <sz val="10"/>
        <color rgb="FFFDF6E9"/>
        <rFont val="Noto Sans CJK SC"/>
        <family val="2"/>
      </rPr>
      <t xml:space="preserve">기질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질문 이유용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</si>
  <si>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TEMP_FIRE_FIRE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</si>
  <si>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방향으로 달리기 때문에 시작하는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타이밍은 따로 챙겨야 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</si>
  <si>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빠르게 불붙는 기질이라 멈추는 연습이 따로 필요할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</si>
  <si>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원소 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‘속도’로 겉과 속이 같은 방향임을 표시했습니다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달이 같은 별자리여도 어색하지 않게 썼습니다</t>
    </r>
    <r>
      <rPr>
        <sz val="10"/>
        <rFont val="맑은 고딕"/>
        <family val="0"/>
        <charset val="1"/>
      </rPr>
      <t xml:space="preserve">.</t>
    </r>
  </si>
  <si>
    <t xml:space="preserve">TEMP_FIRE_EARTH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</si>
  <si>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 일단 저지르고 나서 혼자 계속 점검하는 자신을 발견한다면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</si>
  <si>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움직이는 겉과 하나하나 점검해야 마음이 놓이는 속이 함께 있는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</si>
  <si>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문단을 토큰화한 행입니다</t>
    </r>
    <r>
      <rPr>
        <sz val="10"/>
        <rFont val="맑은 고딕"/>
        <family val="0"/>
        <charset val="1"/>
      </rPr>
      <t xml:space="preserve">.</t>
    </r>
  </si>
  <si>
    <t xml:space="preserve">TEMP_FIRE_AIR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</si>
  <si>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불과 공기는 서로를 키우는 사이라 생각이 금세 행동으로 이어지지만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한 걸음 떨어져 정리할 시간이 필요할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</si>
  <si>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빠르게 움직이면서도 마음은 한 발 떨어져 생각으로 정리하려는 기질이에요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</si>
  <si>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물처럼 서로 돕는 원소 조합은 대비보다 시너지와 그 그늘을 함께 썼습니다</t>
    </r>
    <r>
      <rPr>
        <sz val="10"/>
        <rFont val="맑은 고딕"/>
        <family val="0"/>
        <charset val="1"/>
      </rPr>
      <t xml:space="preserve">.</t>
    </r>
  </si>
  <si>
    <t xml:space="preserve">TEMP_FIRE_WATER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</si>
  <si>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씩씩하게 앞장서다가도 혼자 있을 때 작은 말 한마디를 오래 곱씹는다면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</si>
  <si>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씩씩하게 앞장서는 겉과 작은 말에도 깊이 흔들리는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</si>
  <si>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TEMP_EARTH_FIRE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</si>
  <si>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묵묵히 해내다가도 가끔 답답함이 한꺼번에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</si>
  <si>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차분하게 계획을 지키는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</si>
  <si>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TEMP_EARTH_EARTH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</si>
  <si>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한번 정한 일은 꾸준히 해내지만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예상 밖의 변화 앞에서는 마음이 오래 무거울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</si>
  <si>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차근차근 다져야 마음이 놓이는 기질입니다</t>
    </r>
    <r>
      <rPr>
        <sz val="10"/>
        <rFont val="맑은 고딕"/>
        <family val="0"/>
        <charset val="1"/>
      </rPr>
      <t xml:space="preserve">.</t>
    </r>
  </si>
  <si>
    <t xml:space="preserve">TEMP_EARTH_AIR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</si>
  <si>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꺼내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묵묵해 보여도 머릿속에서는 여러 가능성을 쉼 없이 따져 보고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</si>
  <si>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묵묵한 겉과 쉼 없이 생각을 굴리는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</si>
  <si>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TEMP_EARTH_WATER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</si>
  <si>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가까운 사람과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흙과 물은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현실적으로 챙기는 손길에 다정함이 자연스럽게 묻어납니다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</si>
  <si>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현실적으로 챙기는 겉 안에 다정하고 깊은 마음이 흐르는 기질입니다</t>
    </r>
    <r>
      <rPr>
        <sz val="10"/>
        <rFont val="맑은 고딕"/>
        <family val="0"/>
        <charset val="1"/>
      </rPr>
      <t xml:space="preserve">.</t>
    </r>
  </si>
  <si>
    <t xml:space="preserve">TEMP_AIR_FIRE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</si>
  <si>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공기와 불은 서로를 키우는 사이라 생각과 감정이 금세 말과 행동으로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</si>
  <si>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생각도 마음도 금세 말과 행동으로 이어지는 경쾌한 기질이에요</t>
    </r>
    <r>
      <rPr>
        <sz val="10"/>
        <rFont val="맑은 고딕"/>
        <family val="0"/>
        <charset val="1"/>
      </rPr>
      <t xml:space="preserve">.</t>
    </r>
  </si>
  <si>
    <t xml:space="preserve">TEMP_AIR_EARTH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</si>
  <si>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누구와도 쉽게 어울리다가 집에 돌아와 오늘 한 말을 하나하나 점검한다면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</si>
  <si>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어울리는 겉과 하나하나 확인해야 편한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</si>
  <si>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TEMP_AIR_AIR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</si>
  <si>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생각으로 마음을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상황을 넓게 보는 눈은 밝지만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감정은 생각 뒤로 미뤄 두기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</si>
  <si>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생각으로 먼저 정리하려는 기질이에요</t>
    </r>
    <r>
      <rPr>
        <sz val="10"/>
        <rFont val="맑은 고딕"/>
        <family val="0"/>
        <charset val="1"/>
      </rPr>
      <t xml:space="preserve">.</t>
    </r>
  </si>
  <si>
    <t xml:space="preserve">TEMP_AIR_WATER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</si>
  <si>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밝게 대화를 이끌다가도 정작 내 마음 이야기는 꺼내기 어렵다면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</si>
  <si>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대화를 이끄는 겉 안에 깊고 섬세한 마음이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</si>
  <si>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TEMP_WATER_FIRE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</si>
  <si>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먼저 살피다가도 어느 순간 하고 싶은 말이 확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</si>
  <si>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상대를 먼저 살피는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</si>
  <si>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TEMP_WATER_EARTH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</si>
  <si>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흙은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살피는 마음이 꾸준한 돌봄으로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</si>
  <si>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살피는 마음과 꾸준히 챙기는 손길이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</si>
  <si>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TEMP_WATER_AIR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</si>
  <si>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한 걸음 떨어져 생각으로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공감하면서도 혼자만의 시간이 꼭 필요하다면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</si>
  <si>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공감하는 겉과 혼자 생각할 시간이 필요한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</si>
  <si>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TEMP_WATER_WATER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</si>
  <si>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감정을 깊이 느끼는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공감하는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기분까지 내 것처럼 안고 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</si>
  <si>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감정에 깊이 닿아 있어 남의 기분까지 함께 떠안기 쉬운 기질입니다</t>
    </r>
    <r>
      <rPr>
        <sz val="10"/>
        <rFont val="맑은 고딕"/>
        <family val="0"/>
        <charset val="1"/>
      </rPr>
      <t xml:space="preserve">.</t>
    </r>
  </si>
  <si>
    <t xml:space="preserve">이벤트</t>
  </si>
  <si>
    <t xml:space="preserve">버전</t>
  </si>
  <si>
    <t xml:space="preserve">TP_SATURN_ARIES_H</t>
  </si>
  <si>
    <t xml:space="preserve">토성 양자리 진입</t>
  </si>
  <si>
    <t xml:space="preserve">하우스판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</si>
  <si>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양자리로 옮겨 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무엇을 맡고 무엇을 새로 세울지 묻는 긴 점검의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느껴졌다면 그만큼 오래 쓸 기반을 다지기 시작한 것일 수 있습니다</t>
    </r>
    <r>
      <rPr>
        <sz val="10"/>
        <rFont val="맑은 고딕"/>
        <family val="0"/>
        <charset val="1"/>
      </rPr>
      <t xml:space="preserve">.</t>
    </r>
  </si>
  <si>
    <t xml:space="preserve">TP_SATURN_ARIES_C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</si>
  <si>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등급판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</si>
  <si>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시작의 별자리인 양자리로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새로 책임지고 시작할까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흐름이 열린 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유난히 해야 할 일이 무겁게 느껴졌다면 이 흐름과 맞닿아 있을 수 있어요</t>
    </r>
    <r>
      <rPr>
        <sz val="10"/>
        <rFont val="맑은 고딕"/>
        <family val="0"/>
        <charset val="1"/>
      </rPr>
      <t xml:space="preserve">.</t>
    </r>
  </si>
  <si>
    <t xml:space="preserve">TP_NEPTUNE_ARIES_H</t>
  </si>
  <si>
    <t xml:space="preserve">해왕성 양자리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</si>
  <si>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떠오르는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</si>
  <si>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t xml:space="preserve">TP_NEPTUNE_ARIES_C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</si>
  <si>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옮겨 오며 긴 여정을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무엇을 꿈꾸며 시작하고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조용히 묻는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붕 뜨거나 방향이 흐릿했던 순간이 있었다면 새 그림을 그리기 전의 여백이었을 수 있어요</t>
    </r>
    <r>
      <rPr>
        <sz val="10"/>
        <rFont val="맑은 고딕"/>
        <family val="0"/>
        <charset val="1"/>
      </rPr>
      <t xml:space="preserve">.</t>
    </r>
  </si>
  <si>
    <t xml:space="preserve">TP_URANUS_GEMINI_H</t>
  </si>
  <si>
    <t xml:space="preserve">천왕성 쌍둥이자리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</si>
  <si>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쌍둥이자리로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익숙한 방식이 흔들리는 동시에 뜻밖의 제안이나 새로운 길이 열릴 수 있는 출발선입니다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 몇 해에 걸쳐 조금씩 모양을 바꿔 갈 흐름이에요</t>
    </r>
    <r>
      <rPr>
        <sz val="10"/>
        <rFont val="맑은 고딕"/>
        <family val="0"/>
        <charset val="1"/>
      </rPr>
      <t xml:space="preserve">.</t>
    </r>
  </si>
  <si>
    <t xml:space="preserve">TP_URANUS_GEMINI_C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</si>
  <si>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소통과 배움의 별자리인 쌍둥이자리로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말하고 연결되는 방식이 빠르게 달라지는 흐름이 모두에게 시작된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 만난 사람이 생각보다 큰 문을 열어 줄 수 있습니다</t>
    </r>
    <r>
      <rPr>
        <sz val="10"/>
        <rFont val="맑은 고딕"/>
        <family val="0"/>
        <charset val="1"/>
      </rPr>
      <t xml:space="preserve">.</t>
    </r>
  </si>
  <si>
    <t xml:space="preserve">TP_JUPITER_LEO_H</t>
  </si>
  <si>
    <t xml:space="preserve">목성 사자자리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</si>
  <si>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불어온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</si>
  <si>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t xml:space="preserve">TP_JUPITER_LEO_C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</si>
  <si>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자기표현의 별자리인 사자자리로 옮겨 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드러내고 즐거움을 되찾는 일에 순풍이 불기 시작한 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작은 자신감이 붙었다면 이 바람을 탄 것일 수 있어요</t>
    </r>
    <r>
      <rPr>
        <sz val="10"/>
        <rFont val="맑은 고딕"/>
        <family val="0"/>
        <charset val="1"/>
      </rPr>
      <t xml:space="preserve">.</t>
    </r>
  </si>
  <si>
    <t xml:space="preserve">TP_URANUS_INTO_ASC_SIGN</t>
  </si>
  <si>
    <t xml:space="preserve">천왕성이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</si>
  <si>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답과 나를 보여 주는 방식이 서서히 바뀌어 가는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</si>
  <si>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상승궁이 필요해 출생시간 있는 사용자만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쌍둥이자리 상승궁이면 </t>
    </r>
    <r>
      <rPr>
        <sz val="10"/>
        <rFont val="맑은 고딕"/>
        <family val="0"/>
        <charset val="1"/>
      </rPr>
      <t xml:space="preserve">TP_URANUS_GEMINI_H</t>
    </r>
    <r>
      <rPr>
        <sz val="10"/>
        <rFont val="Noto Sans CJK SC"/>
        <family val="2"/>
      </rPr>
      <t xml:space="preserve">와 겹치니 둘 중 하나만 쓰는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</si>
  <si>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TP_SATURN_INTO_ASC_SIGN</t>
  </si>
  <si>
    <t xml:space="preserve">토성이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</si>
  <si>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책임의 별 토성이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보여주는 방식과 몸의 리듬에 책임의 무게가 실리기 시작한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모습만 남기고 단단히 다시 서는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</si>
  <si>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 상승궁이면 </t>
    </r>
    <r>
      <rPr>
        <sz val="10"/>
        <rFont val="맑은 고딕"/>
        <family val="0"/>
        <charset val="1"/>
      </rPr>
      <t xml:space="preserve">TP_SATURN_ARIES_H</t>
    </r>
    <r>
      <rPr>
        <sz val="10"/>
        <rFont val="Noto Sans CJK SC"/>
        <family val="2"/>
      </rPr>
      <t xml:space="preserve">와 겹침 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</si>
  <si>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TP_SATURN_RETURN_1</t>
  </si>
  <si>
    <t xml:space="preserve">첫 번째 토성 리턴</t>
  </si>
  <si>
    <t xml:space="preserve">공통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</si>
  <si>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처음 돌아오는 토성 리턴의 고비가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</si>
  <si>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서른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첫 리턴 시기가 대부분 비슷해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진행 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아직 정확 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사용자용 문구를 따로 둘지 검토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고비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정확해지는 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마무리 또는 한가운데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가리킴</t>
    </r>
    <r>
      <rPr>
        <sz val="10"/>
        <rFont val="맑은 고딕"/>
        <family val="0"/>
        <charset val="1"/>
      </rPr>
      <t xml:space="preserve">.</t>
    </r>
  </si>
  <si>
    <t xml:space="preserve">TP_SATURN_RETURN_2</t>
  </si>
  <si>
    <t xml:space="preserve">두 번째 토성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</si>
  <si>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두 번째로 돌아오는 토성 리턴의 고비가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</si>
  <si>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나이는 넣지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은퇴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건강 연상 표현은 피했음</t>
    </r>
    <r>
      <rPr>
        <sz val="10"/>
        <rFont val="맑은 고딕"/>
        <family val="0"/>
        <charset val="1"/>
      </rPr>
      <t xml:space="preserve">.</t>
    </r>
  </si>
  <si>
    <t xml:space="preserve">TP_JUPITER_RETURN</t>
  </si>
  <si>
    <t xml:space="preserve">목성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</si>
  <si>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해에 한 번꼴로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</si>
  <si>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나이가 사용자마다 달라 넣지 않음</t>
    </r>
    <r>
      <rPr>
        <sz val="10"/>
        <rFont val="맑은 고딕"/>
        <family val="0"/>
        <charset val="1"/>
      </rPr>
      <t xml:space="preserve">.</t>
    </r>
  </si>
  <si>
    <t xml:space="preserve">TP_URANUS_OPPOSITION</t>
  </si>
  <si>
    <t xml:space="preserve">천왕성 충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</si>
  <si>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태어날 때의 자리와 마주 보는 자리에 섰어요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마흔 무렵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다음 장을 어떻게 살지 묻는 큰 전환의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것이 흔들렸다면 그만큼 미뤄 둔 나다움을 꺼낼 기회가 열린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</si>
  <si>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마흔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대부분 비슷한 시기라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문제 시 삭제 가능</t>
    </r>
    <r>
      <rPr>
        <sz val="10"/>
        <rFont val="맑은 고딕"/>
        <family val="0"/>
        <charset val="1"/>
      </rPr>
      <t xml:space="preserve">.</t>
    </r>
  </si>
  <si>
    <t xml:space="preserve">TP_NEPTUNE_SQUARE</t>
  </si>
  <si>
    <t xml:space="preserve">해왕성 사각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</si>
  <si>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</si>
  <si>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t xml:space="preserve">TP_CHIRON_RETURN</t>
  </si>
  <si>
    <t xml:space="preserve">키론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</si>
  <si>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키론이 태어날 때의 자리로 돌아왔어요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오래된 아픔과 그것을 돌보는 힘을 상징하는 작은 천체입니다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쉰 무렵 찾아오는 이 시기는 지나온 상처를 탓하기보다 그 경험이 남긴 다정함을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</si>
  <si>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비임상 표현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치료 언급 없음</t>
    </r>
    <r>
      <rPr>
        <sz val="10"/>
        <rFont val="맑은 고딕"/>
        <family val="0"/>
        <charset val="1"/>
      </rPr>
      <t xml:space="preserve">). '</t>
    </r>
    <r>
      <rPr>
        <sz val="10"/>
        <rFont val="Noto Sans CJK SC"/>
        <family val="2"/>
      </rPr>
      <t xml:space="preserve">쉰 무렵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표기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행성 별칭 목록에 없어 문장 안에서 풀어 씀</t>
    </r>
    <r>
      <rPr>
        <sz val="10"/>
        <rFont val="맑은 고딕"/>
        <family val="0"/>
        <charset val="1"/>
      </rPr>
      <t xml:space="preserve">.</t>
    </r>
  </si>
  <si>
    <t xml:space="preserve">TP_SOLAR_ECLIPSE_ON_POINT</t>
  </si>
  <si>
    <t xml:space="preserve">일식이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</si>
  <si>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일식이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일식은 새로운 시작의 문을 여는 하늘의 신호로 읽혀요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시작된 일이 있다면 오래 이어질 씨앗일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</si>
  <si>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일식이 닿은 출생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 포함 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등 이름 그대로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행성 뜻풀이를 덧붙일지 엔진 쪽에서 결정</t>
    </r>
    <r>
      <rPr>
        <sz val="10"/>
        <rFont val="맑은 고딕"/>
        <family val="0"/>
        <charset val="1"/>
      </rPr>
      <t xml:space="preserve">.</t>
    </r>
  </si>
  <si>
    <t xml:space="preserve">TP_LUNAR_ECLIPSE_ON_POINT</t>
  </si>
  <si>
    <t xml:space="preserve">월식이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</si>
  <si>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월식이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월식은 무언가가 한 단락을 맺고 정리되는 때를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끝맺은 일이 있다면 새 자리를 비우는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</si>
  <si>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월식이 닿은 출생 행성</t>
    </r>
    <r>
      <rPr>
        <sz val="10"/>
        <rFont val="맑은 고딕"/>
        <family val="0"/>
        <charset val="1"/>
      </rPr>
      <t xml:space="preserve">.</t>
    </r>
  </si>
  <si>
    <t xml:space="preserve">TP_STATION_ON_POINT</t>
  </si>
  <si>
    <t xml:space="preserve">느린 행성의 정지가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</si>
  <si>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느리게 움직이는 별 하나가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멈춘 듯 방향을 바꿨습니다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기운이 한 지점에 오래 머물러 그 영역의 주제가 유난히 또렷해지는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마음에 오래 남은 일이 있다면 올해의 숙제가 무엇이었는지 알려 주는 단서일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</si>
  <si>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허용 토큰이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하나라 이것은 출생 행성으로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정지한 트랜짓 행성 이름은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느리게 움직이는 별 하나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뭉뚱그림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트랜짓 행성 토큰을 추가할지 결정 부탁</t>
    </r>
    <r>
      <rPr>
        <sz val="10"/>
        <rFont val="맑은 고딕"/>
        <family val="0"/>
        <charset val="1"/>
      </rPr>
      <t xml:space="preserve">.</t>
    </r>
  </si>
  <si>
    <t xml:space="preserve">TP_QUIET_YEAR</t>
  </si>
  <si>
    <t xml:space="preserve">큰 전환점 없음</t>
  </si>
  <si>
    <r>
      <rPr>
        <sz val="10"/>
        <rFont val="Noto Sans CJK SC"/>
        <family val="2"/>
      </rPr>
      <t xml:space="preserve">올해는 큰 별들이 내 차트의 중요한 자리를 세게 건드리지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조용했던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밀어붙이는 힘이 적었던 만큼 내가 속도를 정할 수 있었던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해낸 것과 쉬어 간 것 모두 나의 선택에 가까웠다고 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</si>
  <si>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답이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버텨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인 사용자에게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하늘이 조용했다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무심하게 들리지 않는지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</t>
    </r>
    <r>
      <rPr>
        <sz val="10"/>
        <rFont val="맑은 고딕"/>
        <family val="0"/>
        <charset val="1"/>
      </rPr>
      <t xml:space="preserve">Q2</t>
    </r>
    <r>
      <rPr>
        <sz val="10"/>
        <rFont val="Noto Sans CJK SC"/>
        <family val="2"/>
      </rPr>
      <t xml:space="preserve">별 연결 문장을 앞에 붙이는 방식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</si>
  <si>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첫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</si>
  <si>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PL_MERCURY_ARIES</t>
  </si>
  <si>
    <r>
      <rPr>
        <sz val="10"/>
        <rFont val="Noto Sans CJK SC"/>
        <family val="2"/>
      </rPr>
      <t xml:space="preserve">생각이 떠오르면 바로 말로 꺼내는 빠르고 솔직한 머리를 가졌어요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</si>
  <si>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결론을 먼저 말하고 이유는 나중에 붙이는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 중에 좋은 생각이 스치면 손이 먼저 올라가기도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분명한 대화에서 실력이 가장 잘 드러납니다</t>
    </r>
    <r>
      <rPr>
        <sz val="10"/>
        <rFont val="맑은 고딕"/>
        <family val="0"/>
        <charset val="1"/>
      </rPr>
      <t xml:space="preserve">.</t>
    </r>
  </si>
  <si>
    <t xml:space="preserve">PL_MERCURY_TAURUS</t>
  </si>
  <si>
    <r>
      <rPr>
        <sz val="10"/>
        <rFont val="Noto Sans CJK SC"/>
        <family val="2"/>
      </rPr>
      <t xml:space="preserve">천천히 생각하고 한번 이해한 것은 오래 붙잡아 두는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</si>
  <si>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정보를 들으면 바로 답하기보다 곱씹어 본 뒤에 말하는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설명서를 처음부터 끝까지 읽고 나서야 기계를 켜는 모습이 익숙할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느려 보여도 한번 내린 판단은 쉽게 흔들리지 않아요</t>
    </r>
    <r>
      <rPr>
        <sz val="10"/>
        <rFont val="맑은 고딕"/>
        <family val="0"/>
        <charset val="1"/>
      </rPr>
      <t xml:space="preserve">.</t>
    </r>
  </si>
  <si>
    <t xml:space="preserve">PL_MERCURY_GEMINI</t>
  </si>
  <si>
    <r>
      <rPr>
        <sz val="10"/>
        <rFont val="Noto Sans CJK SC"/>
        <family val="2"/>
      </rPr>
      <t xml:space="preserve">여러 생각을 빠르게 잇고 말로 풀어내는 데 재능이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</si>
  <si>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대화 주제가 바뀌어도 금세 따라가고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이야기에서 연결점을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 창을 여러 개 띄워 놓고도 답장이 막히지 않는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것 자체가 즐거움이라 새 분야에도 겁 없이 발을 들입니다</t>
    </r>
    <r>
      <rPr>
        <sz val="10"/>
        <rFont val="맑은 고딕"/>
        <family val="0"/>
        <charset val="1"/>
      </rPr>
      <t xml:space="preserve">.</t>
    </r>
  </si>
  <si>
    <t xml:space="preserve">PL_MERCURY_CANCER</t>
  </si>
  <si>
    <r>
      <rPr>
        <sz val="10"/>
        <rFont val="Noto Sans CJK SC"/>
        <family val="2"/>
      </rPr>
      <t xml:space="preserve">마음이 담긴 기억과 분위기로 생각하고 말하는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</si>
  <si>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들은 말의 내용보다 그 말을 할 때의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</si>
  <si>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t xml:space="preserve">PL_MERCURY_LEO</t>
  </si>
  <si>
    <r>
      <rPr>
        <sz val="10"/>
        <rFont val="Noto Sans CJK SC"/>
        <family val="2"/>
      </rPr>
      <t xml:space="preserve">생각을 이야기로 만들어 생생하게 전하는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</si>
  <si>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내용도 내 식대로 맛을 살려 말할 때 사람들의 시선이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</si>
  <si>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t xml:space="preserve">PL_MERCURY_VIRGO</t>
  </si>
  <si>
    <r>
      <rPr>
        <sz val="10"/>
        <rFont val="Noto Sans CJK SC"/>
        <family val="2"/>
      </rPr>
      <t xml:space="preserve">작은 차이를 알아보고 생각을 차곡차곡 정리하는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</si>
  <si>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흩어진 정보를 보면 자연스럽게 순서를 세우고 빠진 부분을 찾아내요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동료가 놓친 오타나 일정의 빈틈을 먼저 발견하는 쪽이 당신일 때가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꼼꼼함이 쌓여 믿고 맡길 수 있는 사람이라는 인상을 남겨요</t>
    </r>
    <r>
      <rPr>
        <sz val="10"/>
        <rFont val="맑은 고딕"/>
        <family val="0"/>
        <charset val="1"/>
      </rPr>
      <t xml:space="preserve">.</t>
    </r>
  </si>
  <si>
    <t xml:space="preserve">PL_MERCURY_LIBRA</t>
  </si>
  <si>
    <r>
      <rPr>
        <sz val="10"/>
        <rFont val="Noto Sans CJK SC"/>
        <family val="2"/>
      </rPr>
      <t xml:space="preserve">여러 입장을 저울질해 보며 부드럽게 말을 고르는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</si>
  <si>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 이야기만 듣고 결론 내리기보다 반대편의 사정도 궁금해하는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둘이 다툴 때 양쪽 말을 차분히 정리해 주는 역할을 자주 맡기도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말투 하나에도 상대를 배려하는 감각이 묻어납니다</t>
    </r>
    <r>
      <rPr>
        <sz val="10"/>
        <rFont val="맑은 고딕"/>
        <family val="0"/>
        <charset val="1"/>
      </rPr>
      <t xml:space="preserve">.</t>
    </r>
  </si>
  <si>
    <t xml:space="preserve">PL_MERCURY_SCORPIO</t>
  </si>
  <si>
    <r>
      <rPr>
        <sz val="10"/>
        <rFont val="Noto Sans CJK SC"/>
        <family val="2"/>
      </rPr>
      <t xml:space="preserve">겉말보다 속뜻을 읽어 내는 깊고 날카로운 생각을 가졌습니다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</si>
  <si>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겉에서 멈추지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 상대가 말하지 않은 부분을 먼저 알아채고 조용히 질문을 던지기도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말만 골라 하기에 한마디의 무게가 커요</t>
    </r>
    <r>
      <rPr>
        <sz val="10"/>
        <rFont val="맑은 고딕"/>
        <family val="0"/>
        <charset val="1"/>
      </rPr>
      <t xml:space="preserve">.</t>
    </r>
  </si>
  <si>
    <t xml:space="preserve">PL_MERCURY_SAGITTARIUS</t>
  </si>
  <si>
    <r>
      <rPr>
        <sz val="10"/>
        <rFont val="Noto Sans CJK SC"/>
        <family val="2"/>
      </rPr>
      <t xml:space="preserve">작은 사실보다 큰 그림과 의미를 먼저 보는 생각의 결이에요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</si>
  <si>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세세한 정보를 하나하나 따지기보다 ‘그래서 이게 어디로 이어질까’를 먼저 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책자를 펼치면 일정표보다 그곳 사람들의 이야기에 먼저 눈이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솔직하고 시원한 말투가 주변에 활기를 줍니다</t>
    </r>
    <r>
      <rPr>
        <sz val="10"/>
        <rFont val="맑은 고딕"/>
        <family val="0"/>
        <charset val="1"/>
      </rPr>
      <t xml:space="preserve">.</t>
    </r>
  </si>
  <si>
    <t xml:space="preserve">PL_MERCURY_CAPRICORN</t>
  </si>
  <si>
    <r>
      <rPr>
        <sz val="10"/>
        <rFont val="Noto Sans CJK SC"/>
        <family val="2"/>
      </rPr>
      <t xml:space="preserve">실제로 쓸모 있는 생각을 차근차근 쌓아 가는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</si>
  <si>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이것이 현실에서 가능한지 한 번 더 따져 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회의가 길어질 때 ‘그럼 누가 언제까지 할까요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하고 정리하는 사람이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익힌 지식은 오래도록 든든한 자산이 돼요</t>
    </r>
    <r>
      <rPr>
        <sz val="10"/>
        <rFont val="맑은 고딕"/>
        <family val="0"/>
        <charset val="1"/>
      </rPr>
      <t xml:space="preserve">.</t>
    </r>
  </si>
  <si>
    <t xml:space="preserve">PL_MERCURY_AQUARIUS</t>
  </si>
  <si>
    <r>
      <rPr>
        <sz val="10"/>
        <rFont val="Noto Sans CJK SC"/>
        <family val="2"/>
      </rPr>
      <t xml:space="preserve">남들이 놓친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</si>
  <si>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방식에 ‘꼭 이렇게 해야 할까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던지는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같은 방법을 고를 때 새 도구나 다른 길을 찾아보는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원리를 따라갈 때 생각이 가장 맑아집니다</t>
    </r>
    <r>
      <rPr>
        <sz val="10"/>
        <rFont val="맑은 고딕"/>
        <family val="0"/>
        <charset val="1"/>
      </rPr>
      <t xml:space="preserve">.</t>
    </r>
  </si>
  <si>
    <t xml:space="preserve">PL_MERCURY_PISCES</t>
  </si>
  <si>
    <r>
      <rPr>
        <sz val="10"/>
        <rFont val="Noto Sans CJK SC"/>
        <family val="2"/>
      </rPr>
      <t xml:space="preserve">말보다 느낌과 이미지로 먼저 이해하는 섬세한 생각의 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</si>
  <si>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논리로 설명하기 전에 ‘왠지 그럴 것 같다’는 감이 먼저 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음악을 들으며 걷다가 막혔던 생각의 실마리가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생각을 메모로 붙잡아 두면 흐릿함이 영감으로 바뀌어요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</si>
  <si>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 약세 자리라 직관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강점으로 풀었습니다</t>
    </r>
    <r>
      <rPr>
        <sz val="10"/>
        <rFont val="맑은 고딕"/>
        <family val="0"/>
        <charset val="1"/>
      </rPr>
      <t xml:space="preserve">.</t>
    </r>
  </si>
  <si>
    <t xml:space="preserve">PL_VENUS_ARIES</t>
  </si>
  <si>
    <r>
      <rPr>
        <sz val="10"/>
        <rFont val="Noto Sans CJK SC"/>
        <family val="2"/>
      </rPr>
      <t xml:space="preserve">마음이 끌리면 망설이지 않고 먼저 다가가는 솔직한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</si>
  <si>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지핍니다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</si>
  <si>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솔직한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</t>
    </r>
  </si>
  <si>
    <t xml:space="preserve">PL_VENUS_TAURUS</t>
  </si>
  <si>
    <r>
      <rPr>
        <sz val="10"/>
        <rFont val="Noto Sans CJK SC"/>
        <family val="2"/>
      </rPr>
      <t xml:space="preserve">손에 닿는 편안함과 오래가는 아름다움을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</si>
  <si>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재료로 만든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촉감 좋은 옷처럼 감각으로 느끼는 즐거움에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마음에 드는 머그잔 하나를 오래 아끼며 쓰는 모습이 당신과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사랑도 돈도 천천히 쌓아 가는 쪽에서 안정감을 느껴요</t>
    </r>
    <r>
      <rPr>
        <sz val="10"/>
        <rFont val="맑은 고딕"/>
        <family val="0"/>
        <charset val="1"/>
      </rPr>
      <t xml:space="preserve">.</t>
    </r>
  </si>
  <si>
    <t xml:space="preserve">PL_VENUS_GEMINI</t>
  </si>
  <si>
    <r>
      <rPr>
        <sz val="10"/>
        <rFont val="Noto Sans CJK SC"/>
        <family val="2"/>
      </rPr>
      <t xml:space="preserve">대화가 통하는 사람과 가벼운 즐거움에 마음이 끌려요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</si>
  <si>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취미를 시도하거나 작은 물건을 이것저것 써 보는 데서 즐거움을 찾습니다</t>
    </r>
    <r>
      <rPr>
        <sz val="10"/>
        <rFont val="맑은 고딕"/>
        <family val="0"/>
        <charset val="1"/>
      </rPr>
      <t xml:space="preserve">.</t>
    </r>
  </si>
  <si>
    <t xml:space="preserve">PL_VENUS_CANCER</t>
  </si>
  <si>
    <r>
      <rPr>
        <sz val="10"/>
        <rFont val="Noto Sans CJK SC"/>
        <family val="2"/>
      </rPr>
      <t xml:space="preserve">곁을 지켜 주고 챙겨 주는 방식으로 마음을 전하는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</si>
  <si>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사람들을 위해 쓸 때 보람이 커져요</t>
    </r>
    <r>
      <rPr>
        <sz val="10"/>
        <rFont val="맑은 고딕"/>
        <family val="0"/>
        <charset val="1"/>
      </rPr>
      <t xml:space="preserve">.</t>
    </r>
  </si>
  <si>
    <t xml:space="preserve">PL_VENUS_LEO</t>
  </si>
  <si>
    <r>
      <rPr>
        <sz val="10"/>
        <rFont val="Noto Sans CJK SC"/>
        <family val="2"/>
      </rPr>
      <t xml:space="preserve">아낌없이 표현하고 함께 빛나는 순간을 좋아하는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</si>
  <si>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주면 화끈하게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그 마음을 알아봐 줄 때 기쁨이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생일에 작은 깜짝 선물이라도 준비하며 설레는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돈은 나를 빛나게 해 주는 선물처럼 느껴지기도 합니다</t>
    </r>
    <r>
      <rPr>
        <sz val="10"/>
        <rFont val="맑은 고딕"/>
        <family val="0"/>
        <charset val="1"/>
      </rPr>
      <t xml:space="preserve">.</t>
    </r>
  </si>
  <si>
    <t xml:space="preserve">PL_VENUS_VIRGO</t>
  </si>
  <si>
    <r>
      <rPr>
        <sz val="10"/>
        <rFont val="Noto Sans CJK SC"/>
        <family val="2"/>
      </rPr>
      <t xml:space="preserve">작은 배려와 꼼꼼한 손길로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</si>
  <si>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크게 표현하기보다 상대에게 필요한 것을 조용히 챙겨 두는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여행을 가면 준비물 목록을 먼저 만드는 쪽이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쓸모 있고 잘 만든 물건에서 은근한 즐거움을 느껴요</t>
    </r>
    <r>
      <rPr>
        <sz val="10"/>
        <rFont val="맑은 고딕"/>
        <family val="0"/>
        <charset val="1"/>
      </rPr>
      <t xml:space="preserve">.</t>
    </r>
  </si>
  <si>
    <t xml:space="preserve">PL_VENUS_LIBRA</t>
  </si>
  <si>
    <r>
      <rPr>
        <sz val="10"/>
        <rFont val="Noto Sans CJK SC"/>
        <family val="2"/>
      </rPr>
      <t xml:space="preserve">조화로운 분위기와 서로 존중하는 관계에서 마음이 편해져요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</si>
  <si>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균형 잡힌 대화처럼 어우러짐이 느껴질 때 기분이 좋아지는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장소를 고를 때 음식 맛만큼 조명과 음악도 챙겨 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관계에서는 주고받는 마음의 균형을 소중히 여깁니다</t>
    </r>
    <r>
      <rPr>
        <sz val="10"/>
        <rFont val="맑은 고딕"/>
        <family val="0"/>
        <charset val="1"/>
      </rPr>
      <t xml:space="preserve">.</t>
    </r>
  </si>
  <si>
    <t xml:space="preserve">PL_VENUS_SCORPIO</t>
  </si>
  <si>
    <r>
      <rPr>
        <sz val="10"/>
        <rFont val="Noto Sans CJK SC"/>
        <family val="2"/>
      </rPr>
      <t xml:space="preserve">한번 마음을 주면 깊고 진하게 오래 품는 애정입니다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</si>
  <si>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가벼운 호감보다 속마음까지 나눌 수 있는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여럿과 두루 어울리기보다 소수의 사람과 밤늦게 깊은 이야기를 나눌 때 마음이 채워집니다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것에 한번 빠지면 끝까지 파고드는 진심이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</si>
  <si>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자리지만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깊고 진한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긍정적으로 풀었습니다</t>
    </r>
    <r>
      <rPr>
        <sz val="10"/>
        <rFont val="맑은 고딕"/>
        <family val="0"/>
        <charset val="1"/>
      </rPr>
      <t xml:space="preserve">.</t>
    </r>
  </si>
  <si>
    <t xml:space="preserve">PL_VENUS_SAGITTARIUS</t>
  </si>
  <si>
    <r>
      <rPr>
        <sz val="10"/>
        <rFont val="Noto Sans CJK SC"/>
        <family val="2"/>
      </rPr>
      <t xml:space="preserve">함께 넓은 세상을 경험할 때 애정과 즐거움이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</si>
  <si>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서로를 묶어 두기보다 각자의 자유를 존중하는 관계에서 마음이 편한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걷거나 처음 가 보는 식당에 들어서는 순간이 작은 설렘이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물건보다 경험에 돈을 쓸 때 만족이 오래갑니다</t>
    </r>
    <r>
      <rPr>
        <sz val="10"/>
        <rFont val="맑은 고딕"/>
        <family val="0"/>
        <charset val="1"/>
      </rPr>
      <t xml:space="preserve">.</t>
    </r>
  </si>
  <si>
    <t xml:space="preserve">PL_VENUS_CAPRICORN</t>
  </si>
  <si>
    <r>
      <rPr>
        <sz val="10"/>
        <rFont val="Noto Sans CJK SC"/>
        <family val="2"/>
      </rPr>
      <t xml:space="preserve">시간이 지나도 변함없는 믿음으로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</si>
  <si>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조심스럽지만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신뢰가 쌓이면 묵묵히 곁을 지키는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유행하는 물건보다 오래 쓸 수 있는 좋은 물건을 고르는 안목이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돈과 즐거움 모두 계획 안에서 누릴 때 마음이 놓여요</t>
    </r>
    <r>
      <rPr>
        <sz val="10"/>
        <rFont val="맑은 고딕"/>
        <family val="0"/>
        <charset val="1"/>
      </rPr>
      <t xml:space="preserve">.</t>
    </r>
  </si>
  <si>
    <t xml:space="preserve">PL_VENUS_AQUARIUS</t>
  </si>
  <si>
    <r>
      <rPr>
        <sz val="10"/>
        <rFont val="Noto Sans CJK SC"/>
        <family val="2"/>
      </rPr>
      <t xml:space="preserve">친구 같은 편안함과 서로의 개성을 지켜 주는 관계를 좋아해요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</si>
  <si>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가까워져도 각자의 시간과 생각을 존중받을 때 애정이 더 오래가는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잘 모르는 취향이나 독특한 물건을 발견하면 괜히 신이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관심사로 모인 사람들 사이에서 즐거움이 넓어집니다</t>
    </r>
    <r>
      <rPr>
        <sz val="10"/>
        <rFont val="맑은 고딕"/>
        <family val="0"/>
        <charset val="1"/>
      </rPr>
      <t xml:space="preserve">.</t>
    </r>
  </si>
  <si>
    <t xml:space="preserve">PL_VENUS_PISCES</t>
  </si>
  <si>
    <r>
      <rPr>
        <sz val="10"/>
        <rFont val="Noto Sans CJK SC"/>
        <family val="2"/>
      </rPr>
      <t xml:space="preserve">경계 없이 스며드는 다정함으로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</si>
  <si>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기분을 말하지 않아도 알아채고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마음에 조용히 맞춰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영화를 보다 눈물이 맺히는 순간에도 마음이 채워지는 걸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음악이나 그림처럼 마음을 적시는 아름다움에서 큰 위로를 얻어요</t>
    </r>
    <r>
      <rPr>
        <sz val="10"/>
        <rFont val="맑은 고딕"/>
        <family val="0"/>
        <charset val="1"/>
      </rPr>
      <t xml:space="preserve">.</t>
    </r>
  </si>
  <si>
    <t xml:space="preserve">PL_MARS_ARIES</t>
  </si>
  <si>
    <r>
      <rPr>
        <sz val="10"/>
        <rFont val="Noto Sans CJK SC"/>
        <family val="2"/>
      </rPr>
      <t xml:space="preserve">하고 싶은 일이 생기면 몸이 먼저 움직이는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</si>
  <si>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순간의 열기가 가장 큰 연료가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운동을 결심하면 그날 저녁 바로 운동화를 꺼내 신는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금방 표현하고 금방 털어 내는 시원함이 있습니다</t>
    </r>
    <r>
      <rPr>
        <sz val="10"/>
        <rFont val="맑은 고딕"/>
        <family val="0"/>
        <charset val="1"/>
      </rPr>
      <t xml:space="preserve">.</t>
    </r>
  </si>
  <si>
    <t xml:space="preserve">PL_MARS_TAURUS</t>
  </si>
  <si>
    <r>
      <rPr>
        <sz val="10"/>
        <rFont val="Noto Sans CJK SC"/>
        <family val="2"/>
      </rPr>
      <t xml:space="preserve">천천히 시동이 걸리지만 한번 움직이면 끝까지 밀고 가는 힘입니다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</si>
  <si>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몰아붙이기보다 내 속도로 꾸준히 해 나갈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지쳐 그만둘 즈음에도 묵묵히 같은 일을 이어 가는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쉽게 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조금씩 꺼내 두면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</si>
  <si>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PL_MARS_GEMINI</t>
  </si>
  <si>
    <r>
      <rPr>
        <sz val="10"/>
        <rFont val="Noto Sans CJK SC"/>
        <family val="2"/>
      </rPr>
      <t xml:space="preserve">궁금증과 대화가 의욕에 불을 붙이는 재빠른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</si>
  <si>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가지만 오래 붙잡기보다 여러 일을 오가며 할 때 오히려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누군가와 아이디어를 주고받다 보면 어느새 실행 계획이 세워져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말이 빨라지기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쉬고 꺼내면 더 잘 전해집니다</t>
    </r>
    <r>
      <rPr>
        <sz val="10"/>
        <rFont val="맑은 고딕"/>
        <family val="0"/>
        <charset val="1"/>
      </rPr>
      <t xml:space="preserve">.</t>
    </r>
  </si>
  <si>
    <t xml:space="preserve">PL_MARS_CANCER</t>
  </si>
  <si>
    <r>
      <rPr>
        <sz val="10"/>
        <rFont val="Noto Sans CJK SC"/>
        <family val="2"/>
      </rPr>
      <t xml:space="preserve">소중한 사람과 공간을 지키려 할 때 가장 큰 힘이 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</si>
  <si>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 자신만을 위해서보다 아끼는 사람을 위해 움직일 때 의욕이 커지는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</si>
  <si>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약세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지키려 할 때 힘이 나는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방향으로 썼습니다</t>
    </r>
    <r>
      <rPr>
        <sz val="10"/>
        <rFont val="맑은 고딕"/>
        <family val="0"/>
        <charset val="1"/>
      </rPr>
      <t xml:space="preserve">.</t>
    </r>
  </si>
  <si>
    <t xml:space="preserve">PL_MARS_LEO</t>
  </si>
  <si>
    <r>
      <rPr>
        <sz val="10"/>
        <rFont val="Noto Sans CJK SC"/>
        <family val="2"/>
      </rPr>
      <t xml:space="preserve">인정받고 싶은 마음이 뜨거운 열정으로 바뀌는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</si>
  <si>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맡은 일이 빛날 수 있다고 느끼면 몇 배의 에너지를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팀 프로젝트에서 앞에 나서 분위기를 끌어올리는 역할이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자존심이 상하면 화가 크게 올라오기도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금방 너그러워지는 따뜻함도 있습니다</t>
    </r>
    <r>
      <rPr>
        <sz val="10"/>
        <rFont val="맑은 고딕"/>
        <family val="0"/>
        <charset val="1"/>
      </rPr>
      <t xml:space="preserve">.</t>
    </r>
  </si>
  <si>
    <t xml:space="preserve">PL_MARS_VIRGO</t>
  </si>
  <si>
    <r>
      <rPr>
        <sz val="10"/>
        <rFont val="Noto Sans CJK SC"/>
        <family val="2"/>
      </rPr>
      <t xml:space="preserve">정확하게 해내고 싶은 마음에서 의욕이 솟는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</si>
  <si>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터지기보다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</si>
  <si>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t xml:space="preserve">PL_MARS_LIBRA</t>
  </si>
  <si>
    <r>
      <rPr>
        <sz val="10"/>
        <rFont val="Noto Sans CJK SC"/>
        <family val="2"/>
      </rPr>
      <t xml:space="preserve">함께하는 사람과 호흡이 맞을 때 추진력이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</si>
  <si>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밀어붙이기보다 누군가와 의견을 나누며 움직일 때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갈등이 생기면 바로 맞서기보다 분위기를 살피며 때를 고르는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참아 둔 불만은 차분한 말로 일찍 꺼낼수록 관계도 나도 편해집니다</t>
    </r>
    <r>
      <rPr>
        <sz val="10"/>
        <rFont val="맑은 고딕"/>
        <family val="0"/>
        <charset val="1"/>
      </rPr>
      <t xml:space="preserve">.</t>
    </r>
  </si>
  <si>
    <t xml:space="preserve">PL_MARS_SCORPIO</t>
  </si>
  <si>
    <r>
      <rPr>
        <sz val="10"/>
        <rFont val="Noto Sans CJK SC"/>
        <family val="2"/>
      </rPr>
      <t xml:space="preserve">겉으로는 조용해도 속에서 깊고 끈질기게 타오르는 의지입니다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</si>
  <si>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마음먹은 목표는 쉽게 내려놓지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모르게 오래 준비해 온 일을 어느 날 조용히 해내는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오래 품기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사람에게 털어놓거나 몸을 움직여 풀어 주면 좋아요</t>
    </r>
    <r>
      <rPr>
        <sz val="10"/>
        <rFont val="맑은 고딕"/>
        <family val="0"/>
        <charset val="1"/>
      </rPr>
      <t xml:space="preserve">.</t>
    </r>
  </si>
  <si>
    <t xml:space="preserve">PL_MARS_SAGITTARIUS</t>
  </si>
  <si>
    <r>
      <rPr>
        <sz val="10"/>
        <rFont val="Noto Sans CJK SC"/>
        <family val="2"/>
      </rPr>
      <t xml:space="preserve">더 넓은 곳을 향한 기대감이 의욕을 끌어올리는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</si>
  <si>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목표나 새로운 경험이 걸려 있을 때 몸이 가볍게 움직이는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생기면 일단 비행기표부터 검색해 보는 모습이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오래 담아 두지 않고 솔직하게 말한 뒤 툭 털어 냅니다</t>
    </r>
    <r>
      <rPr>
        <sz val="10"/>
        <rFont val="맑은 고딕"/>
        <family val="0"/>
        <charset val="1"/>
      </rPr>
      <t xml:space="preserve">.</t>
    </r>
  </si>
  <si>
    <t xml:space="preserve">PL_MARS_CAPRICORN</t>
  </si>
  <si>
    <r>
      <rPr>
        <sz val="10"/>
        <rFont val="Noto Sans CJK SC"/>
        <family val="2"/>
      </rPr>
      <t xml:space="preserve">목표를 정하면 한 계단씩 꾸준히 올라가는 단단한 추진력입니다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</si>
  <si>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기분보다 멀리 있는 결과를 보며 움직일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쉬는 주말에도 계획한 분량을 조용히 해 두는 모습이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감정을 다스리며 해결책부터 찾는 침착함이 있어요</t>
    </r>
    <r>
      <rPr>
        <sz val="10"/>
        <rFont val="맑은 고딕"/>
        <family val="0"/>
        <charset val="1"/>
      </rPr>
      <t xml:space="preserve">.</t>
    </r>
  </si>
  <si>
    <t xml:space="preserve">PL_MARS_AQUARIUS</t>
  </si>
  <si>
    <r>
      <rPr>
        <sz val="10"/>
        <rFont val="Noto Sans CJK SC"/>
        <family val="2"/>
      </rPr>
      <t xml:space="preserve">내가 옳다고 믿는 방향이 있을 때 힘이 솟는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</si>
  <si>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</si>
  <si>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t xml:space="preserve">PL_MARS_PISCES</t>
  </si>
  <si>
    <r>
      <rPr>
        <sz val="10"/>
        <rFont val="Noto Sans CJK SC"/>
        <family val="2"/>
      </rPr>
      <t xml:space="preserve">마음이 움직이는 일 앞에서 조용히 큰 힘을 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</si>
  <si>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억지로 밀어붙이는 일보다 공감이 가는 일에 훨씬 오래 몰입하는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돕는 일이라면 피곤한 줄도 모르고 시간을 쏟는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화를 삼키기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적거나 음악을 들으며 흘려보내는 시간이 도움이 돼요</t>
    </r>
    <r>
      <rPr>
        <sz val="10"/>
        <rFont val="맑은 고딕"/>
        <family val="0"/>
        <charset val="1"/>
      </rPr>
      <t xml:space="preserve">.</t>
    </r>
  </si>
  <si>
    <t xml:space="preserve">PL_JUPITER_ARIES</t>
  </si>
  <si>
    <r>
      <rPr>
        <sz val="10"/>
        <rFont val="Noto Sans CJK SC"/>
        <family val="2"/>
      </rPr>
      <t xml:space="preserve">먼저 시작하는 용기 속에서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</si>
  <si>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망설이던 일에 첫발을 내디딜 때 생각지 못한 기회가 따라오기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나서지 않던 일을 먼저 맡았다가 새로운 인연이 이어지는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열정이 다른 사람에게도 용기가 될 때 마음의 품이 넓어집니다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</si>
  <si>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한 별자리에 약 일 년 머물러 같은 해 태어난 사람들이 공유하는 배치입니다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본문은 개인 톤으로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화면에서 하우스 해석과 함께 보여 주면 개인차가 살아납니다</t>
    </r>
    <r>
      <rPr>
        <sz val="10"/>
        <rFont val="맑은 고딕"/>
        <family val="0"/>
        <charset val="1"/>
      </rPr>
      <t xml:space="preserve">.</t>
    </r>
  </si>
  <si>
    <t xml:space="preserve">PL_JUPITER_TAURUS</t>
  </si>
  <si>
    <r>
      <rPr>
        <sz val="10"/>
        <rFont val="Noto Sans CJK SC"/>
        <family val="2"/>
      </rPr>
      <t xml:space="preserve">천천히 쌓은 것이 열매가 되며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</si>
  <si>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키우기보다 꾸준히 가꾼 것에서 복이 늘어나는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다닌 단골 가게에서 뜻밖의 좋은 소식을 듣듯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자리에서 기회가 찾아오기도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넉넉한 마음으로 나누는 습관이 삶을 더 풍요롭게 해 줘요</t>
    </r>
    <r>
      <rPr>
        <sz val="10"/>
        <rFont val="맑은 고딕"/>
        <family val="0"/>
        <charset val="1"/>
      </rPr>
      <t xml:space="preserve">.</t>
    </r>
  </si>
  <si>
    <t xml:space="preserve">PL_JUPITER_GEMINI</t>
  </si>
  <si>
    <r>
      <rPr>
        <sz val="10"/>
        <rFont val="Noto Sans CJK SC"/>
        <family val="2"/>
      </rPr>
      <t xml:space="preserve">배우고 묻고 연결하는 과정에서 기회가 늘어나는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</si>
  <si>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다양한 사람과 이야기 나눌수록 새로운 문이 열리기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우연히 들은 강의 하나가 다음 길의 실마리가 되는 일도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것을 기꺼이 나눌 때 운도 함께 커집니다</t>
    </r>
    <r>
      <rPr>
        <sz val="10"/>
        <rFont val="맑은 고딕"/>
        <family val="0"/>
        <charset val="1"/>
      </rPr>
      <t xml:space="preserve">.</t>
    </r>
  </si>
  <si>
    <t xml:space="preserve">PL_JUPITER_CANCER</t>
  </si>
  <si>
    <r>
      <rPr>
        <sz val="10"/>
        <rFont val="Noto Sans CJK SC"/>
        <family val="2"/>
      </rPr>
      <t xml:space="preserve">마음을 나누고 돌보는 자리에서 운이 크게 열리는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</si>
  <si>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따뜻하게 챙긴 일이 시간이 지나 좋은 흐름으로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반찬을 나누던 이웃과 오래 서로 돕는 사이가 되는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소속감을 느끼는 곳에서 성장의 힘도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</si>
  <si>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잘 쓰는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크게 자라는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살짝 강조했습니다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과하지 않은지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</si>
  <si>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PL_JUPITER_LEO</t>
  </si>
  <si>
    <r>
      <rPr>
        <sz val="10"/>
        <rFont val="Noto Sans CJK SC"/>
        <family val="2"/>
      </rPr>
      <t xml:space="preserve">나를 당당히 드러낼 때 기회가 따라오는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</si>
  <si>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사람이 빛나는 순간도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</si>
  <si>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t xml:space="preserve">PL_JUPITER_VIRGO</t>
  </si>
  <si>
    <r>
      <rPr>
        <sz val="10"/>
        <rFont val="Noto Sans CJK SC"/>
        <family val="2"/>
      </rPr>
      <t xml:space="preserve">작은 일을 정성껏 해내는 과정에서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</si>
  <si>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눈에 띄지 않는 일도 꼼꼼히 챙길 때 신뢰가 쌓이고 기회가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동료를 도와 정리한 자료가 나중에 큰 일의 발판이 되는 경우가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실질적인 도움을 건네는 방식으로 너그러움을 표현하는 사람이에요</t>
    </r>
    <r>
      <rPr>
        <sz val="10"/>
        <rFont val="맑은 고딕"/>
        <family val="0"/>
        <charset val="1"/>
      </rPr>
      <t xml:space="preserve">.</t>
    </r>
  </si>
  <si>
    <t xml:space="preserve">PL_JUPITER_LIBRA</t>
  </si>
  <si>
    <r>
      <rPr>
        <sz val="10"/>
        <rFont val="Noto Sans CJK SC"/>
        <family val="2"/>
      </rPr>
      <t xml:space="preserve">좋은 사람들과 손잡을 때 운이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</si>
  <si>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애쓰기보다 협력하고 조율할 때 일이 술술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친구의 소개로 알게 된 사람과 함께 새 일을 꾸려 보는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존중하는 관계 속에서 마음의 품도 함께 넓어집니다</t>
    </r>
    <r>
      <rPr>
        <sz val="10"/>
        <rFont val="맑은 고딕"/>
        <family val="0"/>
        <charset val="1"/>
      </rPr>
      <t xml:space="preserve">.</t>
    </r>
  </si>
  <si>
    <t xml:space="preserve">PL_JUPITER_SCORPIO</t>
  </si>
  <si>
    <r>
      <rPr>
        <sz val="10"/>
        <rFont val="Noto Sans CJK SC"/>
        <family val="2"/>
      </rPr>
      <t xml:space="preserve">깊이 파고들고 함께 나누는 자리에서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</si>
  <si>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분야를 끝까지 탐구할 때 남들이 보지 못한 기회를 발견하기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믿어 온 사람과 힘을 모아 무언가를 이루는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시간을 지나며 얻은 통찰이 다른 사람을 돕는 힘이 돼요</t>
    </r>
    <r>
      <rPr>
        <sz val="10"/>
        <rFont val="맑은 고딕"/>
        <family val="0"/>
        <charset val="1"/>
      </rPr>
      <t xml:space="preserve">.</t>
    </r>
  </si>
  <si>
    <t xml:space="preserve">PL_JUPITER_SAGITTARIUS</t>
  </si>
  <si>
    <r>
      <rPr>
        <sz val="10"/>
        <rFont val="Noto Sans CJK SC"/>
        <family val="2"/>
      </rPr>
      <t xml:space="preserve">더 넓은 세상을 향해 나아갈 때 운이 크게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</si>
  <si>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배움과 낯선 경험 속에서 생각지 못한 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훌쩍 떠난 여행에서 나눈 대화가 다음 목표의 씨앗이 되는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믿는 것을 기꺼이 나누는 낙관이 주변까지 밝혀 줍니다</t>
    </r>
    <r>
      <rPr>
        <sz val="10"/>
        <rFont val="맑은 고딕"/>
        <family val="0"/>
        <charset val="1"/>
      </rPr>
      <t xml:space="preserve">.</t>
    </r>
  </si>
  <si>
    <t xml:space="preserve">PL_JUPITER_CAPRICORN</t>
  </si>
  <si>
    <r>
      <rPr>
        <sz val="10"/>
        <rFont val="Noto Sans CJK SC"/>
        <family val="2"/>
      </rPr>
      <t xml:space="preserve">현실적인 목표를 꾸준히 쌓을 때 운도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</si>
  <si>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번의 큰 행운보다 차근차근 올린 실력이 결국 기회를 불러오는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오랫동안 꾸준히 준비한 자격이 어느 날 새로운 자리로 이어지는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약속을 지키는 모습이 신뢰라는 복으로 돌아와요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</si>
  <si>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쓰기 어려운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쌓는 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부정 표현은 넣지 않았습니다</t>
    </r>
    <r>
      <rPr>
        <sz val="10"/>
        <rFont val="맑은 고딕"/>
        <family val="0"/>
        <charset val="1"/>
      </rPr>
      <t xml:space="preserve">.</t>
    </r>
  </si>
  <si>
    <t xml:space="preserve">PL_JUPITER_AQUARIUS</t>
  </si>
  <si>
    <r>
      <rPr>
        <sz val="10"/>
        <rFont val="Noto Sans CJK SC"/>
        <family val="2"/>
      </rPr>
      <t xml:space="preserve">뜻이 맞는 사람들과 새로운 시도를 할 때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</si>
  <si>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다른 생각을 용기 있게 꺼낼 때 오히려 기회가 찾아오기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온라인 모임에서 만난 사람들과 작은 프로젝트를 시작하는 장면이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이로운 방향을 고민하는 마음이 성장의 동력이 됩니다</t>
    </r>
    <r>
      <rPr>
        <sz val="10"/>
        <rFont val="맑은 고딕"/>
        <family val="0"/>
        <charset val="1"/>
      </rPr>
      <t xml:space="preserve">.</t>
    </r>
  </si>
  <si>
    <t xml:space="preserve">PL_JUPITER_PISCES</t>
  </si>
  <si>
    <r>
      <rPr>
        <sz val="10"/>
        <rFont val="Noto Sans CJK SC"/>
        <family val="2"/>
      </rPr>
      <t xml:space="preserve">다정한 마음과 직관을 믿을 때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</si>
  <si>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마음이 이끄는 쪽을 따랐을 때 좋은 흐름을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대가 없이 건넨 작은 도움이 돌고 돌아 반가운 소식이 되어 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쉬어 가며 마음을 비우는 시간 속에서 새 영감도 자라요</t>
    </r>
    <r>
      <rPr>
        <sz val="10"/>
        <rFont val="맑은 고딕"/>
        <family val="0"/>
        <charset val="1"/>
      </rPr>
      <t xml:space="preserve">.</t>
    </r>
  </si>
  <si>
    <t xml:space="preserve">PL_SATURN_ARIES</t>
  </si>
  <si>
    <r>
      <rPr>
        <sz val="10"/>
        <rFont val="Noto Sans CJK SC"/>
        <family val="2"/>
      </rPr>
      <t xml:space="preserve">내 의지를 끈기 있게 이어 가는 법을 배우며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</si>
  <si>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힘을 끝까지 이어 가는 과정에서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서두르고 싶은 마음을 다독이며 하나를 마무리해 본 경험이 큰 자신감으로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용기와 인내를 함께 쓰는 사람이 되어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</si>
  <si>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한 별자리에 약 이 년 반 머물러 비슷한 시기에 태어난 사람들이 공유합니다</t>
    </r>
    <r>
      <rPr>
        <sz val="10"/>
        <rFont val="맑은 고딕"/>
        <family val="0"/>
        <charset val="1"/>
      </rPr>
      <t xml:space="preserve">. 2026~2028 </t>
    </r>
    <r>
      <rPr>
        <sz val="10"/>
        <rFont val="Noto Sans CJK SC"/>
        <family val="2"/>
      </rPr>
      <t xml:space="preserve">토성 양자리 트랜짓과 겹치는 사용자가 많아 다른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문장과 톤이 맞는지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</si>
  <si>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PL_SATURN_TAURUS</t>
  </si>
  <si>
    <r>
      <rPr>
        <sz val="10"/>
        <rFont val="Noto Sans CJK SC"/>
        <family val="2"/>
      </rPr>
      <t xml:space="preserve">돈과 안정을 내 힘으로 쌓아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</si>
  <si>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것을 지키고 가꾸는 일에서 책임과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적은 금액이라도 꾸준히 모아 온 통장을 보며 스스로를 믿게 되는 순간이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안정은 쉽게 무너지지 않아요</t>
    </r>
    <r>
      <rPr>
        <sz val="10"/>
        <rFont val="맑은 고딕"/>
        <family val="0"/>
        <charset val="1"/>
      </rPr>
      <t xml:space="preserve">.</t>
    </r>
  </si>
  <si>
    <t xml:space="preserve">PL_SATURN_GEMINI</t>
  </si>
  <si>
    <r>
      <rPr>
        <sz val="10"/>
        <rFont val="Noto Sans CJK SC"/>
        <family val="2"/>
      </rPr>
      <t xml:space="preserve">생각을 정리하고 말에 책임지는 법을 익히며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</si>
  <si>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전하는 일에서 ‘내가 충분히 알고 있나’를 스스로 묻는 순간이 많은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발표를 앞두고 몇 번이고 원고를 고쳐 쓰는 모습이 익숙할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말과 지식은 시간이 갈수록 믿음직한 무기가 됩니다</t>
    </r>
    <r>
      <rPr>
        <sz val="10"/>
        <rFont val="맑은 고딕"/>
        <family val="0"/>
        <charset val="1"/>
      </rPr>
      <t xml:space="preserve">.</t>
    </r>
  </si>
  <si>
    <t xml:space="preserve">PL_SATURN_CANCER</t>
  </si>
  <si>
    <r>
      <rPr>
        <sz val="10"/>
        <rFont val="Noto Sans CJK SC"/>
        <family val="2"/>
      </rPr>
      <t xml:space="preserve">마음의 안식처를 스스로 만들어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</si>
  <si>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꾸며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</si>
  <si>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가족사 추측을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기대고 기대받는 가까운 관계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넓게 썼습니다</t>
    </r>
    <r>
      <rPr>
        <sz val="10"/>
        <rFont val="맑은 고딕"/>
        <family val="0"/>
        <charset val="1"/>
      </rPr>
      <t xml:space="preserve">.</t>
    </r>
  </si>
  <si>
    <t xml:space="preserve">PL_SATURN_LEO</t>
  </si>
  <si>
    <r>
      <rPr>
        <sz val="10"/>
        <rFont val="Noto Sans CJK SC"/>
        <family val="2"/>
      </rPr>
      <t xml:space="preserve">나를 드러내는 용기를 시간을 들여 키워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</si>
  <si>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스스로를 표현하고 인정받는 일에서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무대에 오르기 전 여러 번 연습하며 떨림을 다독이는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박수보다 내 기준으로 빛나는 법을 익히며 단단한 자신감이 쌓입니다</t>
    </r>
    <r>
      <rPr>
        <sz val="10"/>
        <rFont val="맑은 고딕"/>
        <family val="0"/>
        <charset val="1"/>
      </rPr>
      <t xml:space="preserve">.</t>
    </r>
  </si>
  <si>
    <t xml:space="preserve">PL_SATURN_VIRGO</t>
  </si>
  <si>
    <r>
      <rPr>
        <sz val="10"/>
        <rFont val="Noto Sans CJK SC"/>
        <family val="2"/>
      </rPr>
      <t xml:space="preserve">일상의 루틴과 일의 완성도를 다듬으며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</si>
  <si>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매일 해내는 일과 몸을 돌보는 습관에서 책임을 크게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아침마다 같은 시간에 일어나 하루 계획을 적는 작은 습관이 든든한 뼈대가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완벽보다 꾸준함을 택할 때 마음의 짐도 한결 가벼워져요</t>
    </r>
    <r>
      <rPr>
        <sz val="10"/>
        <rFont val="맑은 고딕"/>
        <family val="0"/>
        <charset val="1"/>
      </rPr>
      <t xml:space="preserve">.</t>
    </r>
  </si>
  <si>
    <t xml:space="preserve">PL_SATURN_LIBRA</t>
  </si>
  <si>
    <r>
      <rPr>
        <sz val="10"/>
        <rFont val="Noto Sans CJK SC"/>
        <family val="2"/>
      </rPr>
      <t xml:space="preserve">공정하고 균형 잡힌 관계를 지켜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</si>
  <si>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관계에서 약속과 책임의 무게를 진지하게 받아들이는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몫을 분명히 나누고 지켜 갈 때 마음이 편해지는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쌓은 신뢰는 어떤 관계에서도 단단한 기둥이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</si>
  <si>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고양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균형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강점으로 살렸습니다</t>
    </r>
    <r>
      <rPr>
        <sz val="10"/>
        <rFont val="맑은 고딕"/>
        <family val="0"/>
        <charset val="1"/>
      </rPr>
      <t xml:space="preserve">.</t>
    </r>
  </si>
  <si>
    <t xml:space="preserve">PL_SATURN_SCORPIO</t>
  </si>
  <si>
    <r>
      <rPr>
        <sz val="10"/>
        <rFont val="Noto Sans CJK SC"/>
        <family val="2"/>
      </rPr>
      <t xml:space="preserve">깊은 신뢰와 감정을 다루는 법을 익히며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</si>
  <si>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깊이 나누는 관계에서 신중함과 책임을 함께 배우는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마음을 열지 않다가 오랜 시간 끝에 믿을 사람을 알아보는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정직하게 바라보는 연습이 시간이 지나 내면의 힘이 돼요</t>
    </r>
    <r>
      <rPr>
        <sz val="10"/>
        <rFont val="맑은 고딕"/>
        <family val="0"/>
        <charset val="1"/>
      </rPr>
      <t xml:space="preserve">.</t>
    </r>
  </si>
  <si>
    <t xml:space="preserve">PL_SATURN_SAGITTARIUS</t>
  </si>
  <si>
    <r>
      <rPr>
        <sz val="10"/>
        <rFont val="Noto Sans CJK SC"/>
        <family val="2"/>
      </rPr>
      <t xml:space="preserve">내가 믿는 가치를 스스로 세워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</si>
  <si>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배움과 신념의 영역에서 ‘나는 무엇을 믿는가’를 진지하게 묻는 순간을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오래 공부하며 나만의 관점을 다듬어 가는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세운 생각은 쉽게 흔들리지 않는 나침반이 됩니다</t>
    </r>
    <r>
      <rPr>
        <sz val="10"/>
        <rFont val="맑은 고딕"/>
        <family val="0"/>
        <charset val="1"/>
      </rPr>
      <t xml:space="preserve">.</t>
    </r>
  </si>
  <si>
    <t xml:space="preserve">PL_SATURN_CAPRICORN</t>
  </si>
  <si>
    <r>
      <rPr>
        <sz val="10"/>
        <rFont val="Noto Sans CJK SC"/>
        <family val="2"/>
      </rPr>
      <t xml:space="preserve">시간을 들여 쌓아 올린 것으로 자신을 증명하는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</si>
  <si>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사회적 역할에서 책임을 무겁게 느끼며 차근차근 계단을 오르는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일을 끝까지 해내다 보면 어느새 믿고 맡기는 사람이 되어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그대로 실력과 단단함으로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</si>
  <si>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본자리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시기 출생자 공유 배치라는 점은 화면 안내 문구로 따로 처리하는 것을 제안합니다</t>
    </r>
    <r>
      <rPr>
        <sz val="10"/>
        <rFont val="맑은 고딕"/>
        <family val="0"/>
        <charset val="1"/>
      </rPr>
      <t xml:space="preserve">.</t>
    </r>
  </si>
  <si>
    <t xml:space="preserve">PL_SATURN_AQUARIUS</t>
  </si>
  <si>
    <r>
      <rPr>
        <sz val="10"/>
        <rFont val="Noto Sans CJK SC"/>
        <family val="2"/>
      </rPr>
      <t xml:space="preserve">함께하는 공동체 안에서 나만의 원칙을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</si>
  <si>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나다움을 지키면서도 책임을 다하는 법을 배우는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모임의 규칙을 정리하거나 오래가는 체계를 만드는 역할을 자주 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생각이 분명하고 믿음직한 사람으로 자리 잡습니다</t>
    </r>
    <r>
      <rPr>
        <sz val="10"/>
        <rFont val="맑은 고딕"/>
        <family val="0"/>
        <charset val="1"/>
      </rPr>
      <t xml:space="preserve">.</t>
    </r>
  </si>
  <si>
    <t xml:space="preserve">PL_SATURN_PISCES</t>
  </si>
  <si>
    <r>
      <rPr>
        <sz val="10"/>
        <rFont val="Noto Sans CJK SC"/>
        <family val="2"/>
      </rPr>
      <t xml:space="preserve">흐릿한 마음에 형태를 주는 법을 배우며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</si>
  <si>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감정과 상상이 넘칠 때 그것을 현실로 옮기는 과정에서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꿈을 작은 일정으로 쪼개어 하나씩 지워 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쉼과 경계를 스스로 정해 줄수록 섬세함이 힘으로 바뀌어요</t>
    </r>
    <r>
      <rPr>
        <sz val="10"/>
        <rFont val="맑은 고딕"/>
        <family val="0"/>
        <charset val="1"/>
      </rPr>
      <t xml:space="preserve">.</t>
    </r>
  </si>
  <si>
    <t xml:space="preserve">한 줄</t>
  </si>
  <si>
    <r>
      <rPr>
        <b val="true"/>
        <sz val="10"/>
        <color rgb="FFFDF6E9"/>
        <rFont val="Noto Sans CJK SC"/>
        <family val="2"/>
      </rPr>
      <t xml:space="preserve">해석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</si>
  <si>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서비스 범위</t>
    </r>
    <r>
      <rPr>
        <b val="true"/>
        <sz val="10"/>
        <color rgb="FFFDF6E9"/>
        <rFont val="맑은 고딕"/>
        <family val="0"/>
        <charset val="1"/>
      </rPr>
      <t xml:space="preserve">(1960–2010) </t>
    </r>
    <r>
      <rPr>
        <b val="true"/>
        <sz val="10"/>
        <color rgb="FFFDF6E9"/>
        <rFont val="Noto Sans CJK SC"/>
        <family val="2"/>
      </rPr>
      <t xml:space="preserve">해당</t>
    </r>
  </si>
  <si>
    <t xml:space="preserve">PL_URANUS_ARIES</t>
  </si>
  <si>
    <r>
      <rPr>
        <sz val="10"/>
        <rFont val="Noto Sans CJK SC"/>
        <family val="2"/>
      </rPr>
      <t xml:space="preserve">스스로 길을 여는 일에 변화의 힘이 실리는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</si>
  <si>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</si>
  <si>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1960–2010 </t>
    </r>
    <r>
      <rPr>
        <sz val="10"/>
        <rFont val="Noto Sans CJK SC"/>
        <family val="2"/>
      </rPr>
      <t xml:space="preserve">범위에서는 </t>
    </r>
    <r>
      <rPr>
        <sz val="10"/>
        <rFont val="맑은 고딕"/>
        <family val="0"/>
        <charset val="1"/>
      </rPr>
      <t xml:space="preserve">2010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말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중순 출생만 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 양자리 첫 진입 후 역행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경계 사례라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SC"/>
        <family val="2"/>
      </rPr>
      <t xml:space="preserve">로 표기</t>
    </r>
  </si>
  <si>
    <t xml:space="preserve">PL_URANUS_TAURUS</t>
  </si>
  <si>
    <r>
      <rPr>
        <sz val="10"/>
        <rFont val="Noto Sans CJK SC"/>
        <family val="2"/>
      </rPr>
      <t xml:space="preserve">돈과 일상의 감각이 새롭게 바뀌는 흐름을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</si>
  <si>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</si>
  <si>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2018–2026 </t>
    </r>
    <r>
      <rPr>
        <sz val="10"/>
        <rFont val="Noto Sans CJK SC"/>
        <family val="2"/>
      </rPr>
      <t xml:space="preserve">출생</t>
    </r>
  </si>
  <si>
    <t xml:space="preserve">PL_URANUS_GEMINI</t>
  </si>
  <si>
    <r>
      <rPr>
        <sz val="10"/>
        <rFont val="Noto Sans CJK SC"/>
        <family val="2"/>
      </rPr>
      <t xml:space="preserve">말과 정보가 오가는 방식이 빠르게 바뀌는 시기에 태어난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</si>
  <si>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</si>
  <si>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2025–2033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(1941–1949 </t>
    </r>
    <r>
      <rPr>
        <sz val="10"/>
        <rFont val="Noto Sans CJK SC"/>
        <family val="2"/>
      </rPr>
      <t xml:space="preserve">출생도 해당</t>
    </r>
    <r>
      <rPr>
        <sz val="10"/>
        <rFont val="맑은 고딕"/>
        <family val="0"/>
        <charset val="1"/>
      </rPr>
      <t xml:space="preserve">)</t>
    </r>
  </si>
  <si>
    <t xml:space="preserve">PL_URANUS_CANCER</t>
  </si>
  <si>
    <r>
      <rPr>
        <sz val="10"/>
        <rFont val="Noto Sans CJK SC"/>
        <family val="2"/>
      </rPr>
      <t xml:space="preserve">집과 가족의 모양을 새롭게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</si>
  <si>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</si>
  <si>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1948–1956 </t>
    </r>
    <r>
      <rPr>
        <sz val="10"/>
        <rFont val="Noto Sans CJK SC"/>
        <family val="2"/>
      </rPr>
      <t xml:space="preserve">출생</t>
    </r>
  </si>
  <si>
    <t xml:space="preserve">PL_URANUS_LEO</t>
  </si>
  <si>
    <r>
      <rPr>
        <sz val="10"/>
        <rFont val="Noto Sans CJK SC"/>
        <family val="2"/>
      </rPr>
      <t xml:space="preserve">나다운 표현으로 틀을 깨려는 기운의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</si>
  <si>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</si>
  <si>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1955–1962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1960–1962 </t>
    </r>
    <r>
      <rPr>
        <sz val="10"/>
        <rFont val="Noto Sans CJK SC"/>
        <family val="2"/>
      </rPr>
      <t xml:space="preserve">일부</t>
    </r>
  </si>
  <si>
    <t xml:space="preserve">PL_URANUS_VIRGO</t>
  </si>
  <si>
    <r>
      <rPr>
        <sz val="10"/>
        <rFont val="Noto Sans CJK SC"/>
        <family val="2"/>
      </rPr>
      <t xml:space="preserve">일하는 방식과 생활 습관을 새롭게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</si>
  <si>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</si>
  <si>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1962–1968 </t>
    </r>
    <r>
      <rPr>
        <sz val="10"/>
        <rFont val="Noto Sans CJK SC"/>
        <family val="2"/>
      </rPr>
      <t xml:space="preserve">출생</t>
    </r>
  </si>
  <si>
    <t xml:space="preserve">PL_URANUS_LIBRA</t>
  </si>
  <si>
    <r>
      <rPr>
        <sz val="10"/>
        <rFont val="Noto Sans CJK SC"/>
        <family val="2"/>
      </rPr>
      <t xml:space="preserve">관계의 규칙을 다시 쓰는 기운을 가진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</si>
  <si>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</si>
  <si>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1968–1975 </t>
    </r>
    <r>
      <rPr>
        <sz val="10"/>
        <rFont val="Noto Sans CJK SC"/>
        <family val="2"/>
      </rPr>
      <t xml:space="preserve">출생</t>
    </r>
  </si>
  <si>
    <t xml:space="preserve">PL_URANUS_SCORPIO</t>
  </si>
  <si>
    <r>
      <rPr>
        <sz val="10"/>
        <rFont val="Noto Sans CJK SC"/>
        <family val="2"/>
      </rPr>
      <t xml:space="preserve">감춰진 것을 들여다보고 바꾸려는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</si>
  <si>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</si>
  <si>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1975–1981 </t>
    </r>
    <r>
      <rPr>
        <sz val="10"/>
        <rFont val="Noto Sans CJK SC"/>
        <family val="2"/>
      </rPr>
      <t xml:space="preserve">출생</t>
    </r>
  </si>
  <si>
    <t xml:space="preserve">PL_URANUS_SAGITTARIUS</t>
  </si>
  <si>
    <r>
      <rPr>
        <sz val="10"/>
        <rFont val="Noto Sans CJK SC"/>
        <family val="2"/>
      </rPr>
      <t xml:space="preserve">더 넓은 세상과 새로운 생각을 찾아 나서는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</si>
  <si>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</si>
  <si>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1981–1988 </t>
    </r>
    <r>
      <rPr>
        <sz val="10"/>
        <rFont val="Noto Sans CJK SC"/>
        <family val="2"/>
      </rPr>
      <t xml:space="preserve">출생</t>
    </r>
  </si>
  <si>
    <t xml:space="preserve">PL_URANUS_CAPRICORN</t>
  </si>
  <si>
    <r>
      <rPr>
        <sz val="10"/>
        <rFont val="Noto Sans CJK SC"/>
        <family val="2"/>
      </rPr>
      <t xml:space="preserve">오래된 구조를 현실적으로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</si>
  <si>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</si>
  <si>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1988–1996 </t>
    </r>
    <r>
      <rPr>
        <sz val="10"/>
        <rFont val="Noto Sans CJK SC"/>
        <family val="2"/>
      </rPr>
      <t xml:space="preserve">출생</t>
    </r>
  </si>
  <si>
    <t xml:space="preserve">PL_URANUS_AQUARIUS</t>
  </si>
  <si>
    <r>
      <rPr>
        <sz val="10"/>
        <rFont val="Noto Sans CJK SC"/>
        <family val="2"/>
      </rPr>
      <t xml:space="preserve">연결과 기술로 새로운 방식을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</si>
  <si>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</si>
  <si>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1995–2003 </t>
    </r>
    <r>
      <rPr>
        <sz val="10"/>
        <rFont val="Noto Sans CJK SC"/>
        <family val="2"/>
      </rPr>
      <t xml:space="preserve">출생</t>
    </r>
  </si>
  <si>
    <t xml:space="preserve">PL_URANUS_PISCES</t>
  </si>
  <si>
    <r>
      <rPr>
        <sz val="10"/>
        <rFont val="Noto Sans CJK SC"/>
        <family val="2"/>
      </rPr>
      <t xml:space="preserve">공감과 상상력으로 경계를 넘나드는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</si>
  <si>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</si>
  <si>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2003–2011 </t>
    </r>
    <r>
      <rPr>
        <sz val="10"/>
        <rFont val="Noto Sans CJK SC"/>
        <family val="2"/>
      </rPr>
      <t xml:space="preserve">출생</t>
    </r>
  </si>
  <si>
    <t xml:space="preserve">PL_NEPTUNE_ARIES</t>
  </si>
  <si>
    <r>
      <rPr>
        <sz val="10"/>
        <rFont val="Noto Sans CJK SC"/>
        <family val="2"/>
      </rPr>
      <t xml:space="preserve">새로운 시작에 꿈을 거는 용기의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</si>
  <si>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</si>
  <si>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2025–2039 </t>
    </r>
    <r>
      <rPr>
        <sz val="10"/>
        <rFont val="Noto Sans CJK SC"/>
        <family val="2"/>
      </rPr>
      <t xml:space="preserve">출생</t>
    </r>
  </si>
  <si>
    <t xml:space="preserve">PL_NEPTUNE_TAURUS</t>
  </si>
  <si>
    <r>
      <rPr>
        <sz val="10"/>
        <rFont val="Noto Sans CJK SC"/>
        <family val="2"/>
      </rPr>
      <t xml:space="preserve">자연과 감각의 아름다움을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</si>
  <si>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</si>
  <si>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1874–1889 / 2038–2052 </t>
    </r>
    <r>
      <rPr>
        <sz val="10"/>
        <rFont val="Noto Sans CJK SC"/>
        <family val="2"/>
      </rPr>
      <t xml:space="preserve">출생</t>
    </r>
  </si>
  <si>
    <t xml:space="preserve">PL_NEPTUNE_GEMINI</t>
  </si>
  <si>
    <r>
      <rPr>
        <sz val="10"/>
        <rFont val="Noto Sans CJK SC"/>
        <family val="2"/>
      </rPr>
      <t xml:space="preserve">말과 이야기에서 꿈을 키우는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</si>
  <si>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</si>
  <si>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1887–1902 </t>
    </r>
    <r>
      <rPr>
        <sz val="10"/>
        <rFont val="Noto Sans CJK SC"/>
        <family val="2"/>
      </rPr>
      <t xml:space="preserve">출생</t>
    </r>
  </si>
  <si>
    <t xml:space="preserve">PL_NEPTUNE_CANCER</t>
  </si>
  <si>
    <r>
      <rPr>
        <sz val="10"/>
        <rFont val="Noto Sans CJK SC"/>
        <family val="2"/>
      </rPr>
      <t xml:space="preserve">따뜻한 집과 돌봄을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</si>
  <si>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</si>
  <si>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1901–1915 </t>
    </r>
    <r>
      <rPr>
        <sz val="10"/>
        <rFont val="Noto Sans CJK SC"/>
        <family val="2"/>
      </rPr>
      <t xml:space="preserve">출생</t>
    </r>
  </si>
  <si>
    <t xml:space="preserve">PL_NEPTUNE_LEO</t>
  </si>
  <si>
    <r>
      <rPr>
        <sz val="10"/>
        <rFont val="Noto Sans CJK SC"/>
        <family val="2"/>
      </rPr>
      <t xml:space="preserve">무대와 낭만을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</si>
  <si>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</si>
  <si>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1914–1929 </t>
    </r>
    <r>
      <rPr>
        <sz val="10"/>
        <rFont val="Noto Sans CJK SC"/>
        <family val="2"/>
      </rPr>
      <t xml:space="preserve">출생</t>
    </r>
  </si>
  <si>
    <t xml:space="preserve">PL_NEPTUNE_VIRGO</t>
  </si>
  <si>
    <r>
      <rPr>
        <sz val="10"/>
        <rFont val="Noto Sans CJK SC"/>
        <family val="2"/>
      </rPr>
      <t xml:space="preserve">돕고 돌보는 일에서 이상을 찾는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</si>
  <si>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</si>
  <si>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1928–1943 </t>
    </r>
    <r>
      <rPr>
        <sz val="10"/>
        <rFont val="Noto Sans CJK SC"/>
        <family val="2"/>
      </rPr>
      <t xml:space="preserve">출생</t>
    </r>
  </si>
  <si>
    <t xml:space="preserve">PL_NEPTUNE_LIBRA</t>
  </si>
  <si>
    <r>
      <rPr>
        <sz val="10"/>
        <rFont val="Noto Sans CJK SC"/>
        <family val="2"/>
      </rPr>
      <t xml:space="preserve">조화로운 관계와 평화를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</si>
  <si>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</si>
  <si>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1942–1957 </t>
    </r>
    <r>
      <rPr>
        <sz val="10"/>
        <rFont val="Noto Sans CJK SC"/>
        <family val="2"/>
      </rPr>
      <t xml:space="preserve">출생</t>
    </r>
  </si>
  <si>
    <t xml:space="preserve">PL_NEPTUNE_SCORPIO</t>
  </si>
  <si>
    <r>
      <rPr>
        <sz val="10"/>
        <rFont val="Noto Sans CJK SC"/>
        <family val="2"/>
      </rPr>
      <t xml:space="preserve">깊은 감정과 숨은 진실에 끌리는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</si>
  <si>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</si>
  <si>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1956–1970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1960–1970</t>
    </r>
  </si>
  <si>
    <t xml:space="preserve">PL_NEPTUNE_SAGITTARIUS</t>
  </si>
  <si>
    <r>
      <rPr>
        <sz val="10"/>
        <rFont val="Noto Sans CJK SC"/>
        <family val="2"/>
      </rPr>
      <t xml:space="preserve">더 넓은 의미와 자유를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</si>
  <si>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</si>
  <si>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1970–1984 </t>
    </r>
    <r>
      <rPr>
        <sz val="10"/>
        <rFont val="Noto Sans CJK SC"/>
        <family val="2"/>
      </rPr>
      <t xml:space="preserve">출생</t>
    </r>
  </si>
  <si>
    <t xml:space="preserve">PL_NEPTUNE_CAPRICORN</t>
  </si>
  <si>
    <r>
      <rPr>
        <sz val="10"/>
        <rFont val="Noto Sans CJK SC"/>
        <family val="2"/>
      </rPr>
      <t xml:space="preserve">현실 속에서 꿈의 모양을 다시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</si>
  <si>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</si>
  <si>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1984–1998 </t>
    </r>
    <r>
      <rPr>
        <sz val="10"/>
        <rFont val="Noto Sans CJK SC"/>
        <family val="2"/>
      </rPr>
      <t xml:space="preserve">출생</t>
    </r>
  </si>
  <si>
    <t xml:space="preserve">PL_NEPTUNE_AQUARIUS</t>
  </si>
  <si>
    <r>
      <rPr>
        <sz val="10"/>
        <rFont val="Noto Sans CJK SC"/>
        <family val="2"/>
      </rPr>
      <t xml:space="preserve">함께 사는 세상을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</si>
  <si>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</si>
  <si>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1998–2012 </t>
    </r>
    <r>
      <rPr>
        <sz val="10"/>
        <rFont val="Noto Sans CJK SC"/>
        <family val="2"/>
      </rPr>
      <t xml:space="preserve">출생</t>
    </r>
  </si>
  <si>
    <t xml:space="preserve">PL_NEPTUNE_PISCES</t>
  </si>
  <si>
    <r>
      <rPr>
        <sz val="10"/>
        <rFont val="Noto Sans CJK SC"/>
        <family val="2"/>
      </rPr>
      <t xml:space="preserve">공감이 깊고 상상력이 풍부한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</si>
  <si>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</si>
  <si>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2011–2026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(2011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4~8</t>
    </r>
    <r>
      <rPr>
        <sz val="10"/>
        <rFont val="Noto Sans CJK SC"/>
        <family val="2"/>
      </rPr>
      <t xml:space="preserve">월 첫 진입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 밖</t>
    </r>
    <r>
      <rPr>
        <sz val="10"/>
        <rFont val="맑은 고딕"/>
        <family val="0"/>
        <charset val="1"/>
      </rPr>
      <t xml:space="preserve">)</t>
    </r>
  </si>
  <si>
    <t xml:space="preserve">PL_PLUTO_ARIES</t>
  </si>
  <si>
    <r>
      <rPr>
        <sz val="10"/>
        <rFont val="Noto Sans CJK SC"/>
        <family val="2"/>
      </rPr>
      <t xml:space="preserve">스스로 서는 힘을 새롭게 다져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</si>
  <si>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</si>
  <si>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1822–1853 / 2068</t>
    </r>
    <r>
      <rPr>
        <sz val="10"/>
        <rFont val="Noto Sans CJK SC"/>
        <family val="2"/>
      </rPr>
      <t xml:space="preserve">년 이후 출생</t>
    </r>
  </si>
  <si>
    <t xml:space="preserve">PL_PLUTO_TAURUS</t>
  </si>
  <si>
    <r>
      <rPr>
        <sz val="10"/>
        <rFont val="Noto Sans CJK SC"/>
        <family val="2"/>
      </rPr>
      <t xml:space="preserve">가치와 소유의 의미를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</si>
  <si>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</si>
  <si>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1851–1884 </t>
    </r>
    <r>
      <rPr>
        <sz val="10"/>
        <rFont val="Noto Sans CJK SC"/>
        <family val="2"/>
      </rPr>
      <t xml:space="preserve">출생</t>
    </r>
  </si>
  <si>
    <t xml:space="preserve">PL_PLUTO_GEMINI</t>
  </si>
  <si>
    <r>
      <rPr>
        <sz val="10"/>
        <rFont val="Noto Sans CJK SC"/>
        <family val="2"/>
      </rPr>
      <t xml:space="preserve">생각과 말의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</si>
  <si>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</si>
  <si>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1882–1914 </t>
    </r>
    <r>
      <rPr>
        <sz val="10"/>
        <rFont val="Noto Sans CJK SC"/>
        <family val="2"/>
      </rPr>
      <t xml:space="preserve">출생</t>
    </r>
  </si>
  <si>
    <t xml:space="preserve">PL_PLUTO_CANCER</t>
  </si>
  <si>
    <r>
      <rPr>
        <sz val="10"/>
        <rFont val="Noto Sans CJK SC"/>
        <family val="2"/>
      </rPr>
      <t xml:space="preserve">가족과 뿌리의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</si>
  <si>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</si>
  <si>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1913–1939 </t>
    </r>
    <r>
      <rPr>
        <sz val="10"/>
        <rFont val="Noto Sans CJK SC"/>
        <family val="2"/>
      </rPr>
      <t xml:space="preserve">출생</t>
    </r>
  </si>
  <si>
    <t xml:space="preserve">PL_PLUTO_LEO</t>
  </si>
  <si>
    <r>
      <rPr>
        <sz val="10"/>
        <rFont val="Noto Sans CJK SC"/>
        <family val="2"/>
      </rPr>
      <t xml:space="preserve">자기표현의 힘을 새롭게 일깨운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</si>
  <si>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</si>
  <si>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1937–1958 </t>
    </r>
    <r>
      <rPr>
        <sz val="10"/>
        <rFont val="Noto Sans CJK SC"/>
        <family val="2"/>
      </rPr>
      <t xml:space="preserve">출생</t>
    </r>
  </si>
  <si>
    <t xml:space="preserve">PL_PLUTO_VIRGO</t>
  </si>
  <si>
    <r>
      <rPr>
        <sz val="10"/>
        <rFont val="Noto Sans CJK SC"/>
        <family val="2"/>
      </rPr>
      <t xml:space="preserve">일과 생활의 방식을 깊이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</si>
  <si>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</si>
  <si>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1960–1972</t>
    </r>
  </si>
  <si>
    <t xml:space="preserve">PL_PLUTO_LIBRA</t>
  </si>
  <si>
    <r>
      <rPr>
        <sz val="10"/>
        <rFont val="Noto Sans CJK SC"/>
        <family val="2"/>
      </rPr>
      <t xml:space="preserve">관계와 공정함의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</si>
  <si>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</si>
  <si>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1971–1984 </t>
    </r>
    <r>
      <rPr>
        <sz val="10"/>
        <rFont val="Noto Sans CJK SC"/>
        <family val="2"/>
      </rPr>
      <t xml:space="preserve">출생</t>
    </r>
  </si>
  <si>
    <t xml:space="preserve">PL_PLUTO_SCORPIO</t>
  </si>
  <si>
    <r>
      <rPr>
        <sz val="10"/>
        <rFont val="Noto Sans CJK SC"/>
        <family val="2"/>
      </rPr>
      <t xml:space="preserve">깊은 감정과 마주하며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</si>
  <si>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</si>
  <si>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1983–1995 </t>
    </r>
    <r>
      <rPr>
        <sz val="10"/>
        <rFont val="Noto Sans CJK SC"/>
        <family val="2"/>
      </rPr>
      <t xml:space="preserve">출생</t>
    </r>
  </si>
  <si>
    <t xml:space="preserve">PL_PLUTO_SAGITTARIUS</t>
  </si>
  <si>
    <r>
      <rPr>
        <sz val="10"/>
        <rFont val="Noto Sans CJK SC"/>
        <family val="2"/>
      </rPr>
      <t xml:space="preserve">믿음과 세계관을 새로 짓는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</si>
  <si>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</si>
  <si>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1995–2008 </t>
    </r>
    <r>
      <rPr>
        <sz val="10"/>
        <rFont val="Noto Sans CJK SC"/>
        <family val="2"/>
      </rPr>
      <t xml:space="preserve">출생</t>
    </r>
  </si>
  <si>
    <t xml:space="preserve">PL_PLUTO_CAPRICORN</t>
  </si>
  <si>
    <r>
      <rPr>
        <sz val="10"/>
        <rFont val="Noto Sans CJK SC"/>
        <family val="2"/>
      </rPr>
      <t xml:space="preserve">사회의 구조가 다시 세워지는 시기의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</si>
  <si>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</si>
  <si>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2008–2024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2008–2010</t>
    </r>
  </si>
  <si>
    <t xml:space="preserve">PL_PLUTO_AQUARIUS</t>
  </si>
  <si>
    <r>
      <rPr>
        <sz val="10"/>
        <rFont val="Noto Sans CJK SC"/>
        <family val="2"/>
      </rPr>
      <t xml:space="preserve">연결과 공동체의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</si>
  <si>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</si>
  <si>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2023–2044 </t>
    </r>
    <r>
      <rPr>
        <sz val="10"/>
        <rFont val="Noto Sans CJK SC"/>
        <family val="2"/>
      </rPr>
      <t xml:space="preserve">출생</t>
    </r>
  </si>
  <si>
    <t xml:space="preserve">PL_PLUTO_PISCES</t>
  </si>
  <si>
    <r>
      <rPr>
        <sz val="10"/>
        <rFont val="Noto Sans CJK SC"/>
        <family val="2"/>
      </rPr>
      <t xml:space="preserve">공감과 상상의 힘이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</si>
  <si>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</si>
  <si>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1798–1823 / 2043</t>
    </r>
    <r>
      <rPr>
        <sz val="10"/>
        <rFont val="Noto Sans CJK SC"/>
        <family val="2"/>
      </rPr>
      <t xml:space="preserve">년 이후 출생</t>
    </r>
  </si>
  <si>
    <t xml:space="preserve">해석</t>
  </si>
  <si>
    <t xml:space="preserve">HS_SUN_H01</t>
  </si>
  <si>
    <r>
      <rPr>
        <sz val="10"/>
        <rFont val="Noto Sans CJK SC"/>
        <family val="2"/>
      </rPr>
      <t xml:space="preserve">그 힘이 나 자신과 첫인상을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</si>
  <si>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존재감이 먼저 느껴지는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사람인지 스스로 정하고 보여 줄 때 삶의 중심이 또렷해집니다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방식을 고를 때 힘이 나요</t>
    </r>
    <r>
      <rPr>
        <sz val="10"/>
        <rFont val="맑은 고딕"/>
        <family val="0"/>
        <charset val="1"/>
      </rPr>
      <t xml:space="preserve">.</t>
    </r>
  </si>
  <si>
    <t xml:space="preserve">HS_SUN_H02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</si>
  <si>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돈과 자기가치</t>
    </r>
  </si>
  <si>
    <r>
      <rPr>
        <sz val="10"/>
        <rFont val="Noto Sans CJK SC"/>
        <family val="2"/>
      </rPr>
      <t xml:space="preserve">그 힘이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</si>
  <si>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손으로 번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고른 물건에서 나다움을 확인하는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 돈과 시간을 쓰는지가 곧 나를 보여 주는 말이 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기준이 설 때 마음도 단단해집니다</t>
    </r>
    <r>
      <rPr>
        <sz val="10"/>
        <rFont val="맑은 고딕"/>
        <family val="0"/>
        <charset val="1"/>
      </rPr>
      <t xml:space="preserve">.</t>
    </r>
  </si>
  <si>
    <t xml:space="preserve">HS_SUN_H03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</si>
  <si>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배움과 말</t>
    </r>
  </si>
  <si>
    <r>
      <rPr>
        <sz val="10"/>
        <rFont val="Noto Sans CJK SC"/>
        <family val="2"/>
      </rPr>
      <t xml:space="preserve">그 힘이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</si>
  <si>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 이웃이나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</si>
  <si>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t xml:space="preserve">HS_SUN_H04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</si>
  <si>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집과 뿌리</t>
    </r>
  </si>
  <si>
    <r>
      <rPr>
        <sz val="10"/>
        <rFont val="Noto Sans CJK SC"/>
        <family val="2"/>
      </rPr>
      <t xml:space="preserve">그 힘이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</si>
  <si>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밖에서 무엇을 이루든 돌아갈 곳이 편안해야 힘이 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공간을 내 손으로 꾸리고 가까운 사람을 챙길 때 중심이 잡힙니다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집은 쉬는 곳이면서 나를 다시 세우는 자리이기도 해요</t>
    </r>
    <r>
      <rPr>
        <sz val="10"/>
        <rFont val="맑은 고딕"/>
        <family val="0"/>
        <charset val="1"/>
      </rPr>
      <t xml:space="preserve">.</t>
    </r>
  </si>
  <si>
    <t xml:space="preserve">HS_SUN_H05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</si>
  <si>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즐거움과 창작</t>
    </r>
  </si>
  <si>
    <r>
      <rPr>
        <sz val="10"/>
        <rFont val="Noto Sans CJK SC"/>
        <family val="2"/>
      </rPr>
      <t xml:space="preserve">그 힘이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</si>
  <si>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얼굴부터 환해지는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대상을 표현할 때 나다움이 가장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놀이처럼 즐기는 시간이 삶의 중심을 채워 줍니다</t>
    </r>
    <r>
      <rPr>
        <sz val="10"/>
        <rFont val="맑은 고딕"/>
        <family val="0"/>
        <charset val="1"/>
      </rPr>
      <t xml:space="preserve">.</t>
    </r>
  </si>
  <si>
    <t xml:space="preserve">HS_SUN_H06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</si>
  <si>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일상과 루틴</t>
    </r>
  </si>
  <si>
    <r>
      <rPr>
        <sz val="10"/>
        <rFont val="Noto Sans CJK SC"/>
        <family val="2"/>
      </rPr>
      <t xml:space="preserve">그 힘이 매일의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몸의 리듬을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</si>
  <si>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잘 짜고 맡은 일을 꼼꼼히 해낼 때 보람을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습관이 쌓여 내가 된다는 감각이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일이 많아지면 쉬는 시간까지 일정으로 채우기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비워 두는 칸도 하나 남겨 두면 좋아요</t>
    </r>
    <r>
      <rPr>
        <sz val="10"/>
        <rFont val="맑은 고딕"/>
        <family val="0"/>
        <charset val="1"/>
      </rPr>
      <t xml:space="preserve">.</t>
    </r>
  </si>
  <si>
    <t xml:space="preserve">HS_SUN_H07</t>
  </si>
  <si>
    <r>
      <rPr>
        <sz val="10"/>
        <rFont val="Noto Sans CJK SC"/>
        <family val="2"/>
      </rPr>
      <t xml:space="preserve">그 힘이 일대일 관계와 파트너를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</si>
  <si>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혼자일 때보다 마주 앉은 한 사람과 이야기할 때 내가 더 선명해지는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동료든 친구든 짝이든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맞춰 가는 관계에서 삶의 중심을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거울삼되 내 목소리도 함께 챙기면 좋아요</t>
    </r>
    <r>
      <rPr>
        <sz val="10"/>
        <rFont val="맑은 고딕"/>
        <family val="0"/>
        <charset val="1"/>
      </rPr>
      <t xml:space="preserve">.</t>
    </r>
  </si>
  <si>
    <t xml:space="preserve">HS_SUN_H08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</si>
  <si>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</si>
  <si>
    <r>
      <rPr>
        <sz val="10"/>
        <rFont val="Noto Sans CJK SC"/>
        <family val="2"/>
      </rPr>
      <t xml:space="preserve">그 힘이 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나누는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</si>
  <si>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것을 진지하게 여겨요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</si>
  <si>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살림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풀어 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 표현 회피</t>
    </r>
    <r>
      <rPr>
        <sz val="10"/>
        <rFont val="맑은 고딕"/>
        <family val="0"/>
        <charset val="1"/>
      </rPr>
      <t xml:space="preserve">)</t>
    </r>
  </si>
  <si>
    <t xml:space="preserve">HS_SUN_H09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</si>
  <si>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</si>
  <si>
    <r>
      <rPr>
        <sz val="10"/>
        <rFont val="Noto Sans CJK SC"/>
        <family val="2"/>
      </rPr>
      <t xml:space="preserve">그 힘이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</si>
  <si>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생각을 만날 때 눈이 반짝이는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옳은지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어떻게 살고 싶은지 스스로 묻고 답하는 시간이 중심을 세워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 넓어질수록 나도 넓어져요</t>
    </r>
    <r>
      <rPr>
        <sz val="10"/>
        <rFont val="맑은 고딕"/>
        <family val="0"/>
        <charset val="1"/>
      </rPr>
      <t xml:space="preserve">.</t>
    </r>
  </si>
  <si>
    <t xml:space="preserve">HS_SUN_H10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</si>
  <si>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</si>
  <si>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그 힘이 커리어와 사회 속 나의 역할을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</si>
  <si>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일터나 사회에서 어떤 역할을 맡는지가 나를 설명하는 중요한 말이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세우고 한 걸음씩 올라갈 때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성과만으로 나를 재지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밖의 나도 함께 챙겨 주세요</t>
    </r>
    <r>
      <rPr>
        <sz val="10"/>
        <rFont val="맑은 고딕"/>
        <family val="0"/>
        <charset val="1"/>
      </rPr>
      <t xml:space="preserve">.</t>
    </r>
  </si>
  <si>
    <t xml:space="preserve">HS_SUN_H11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</si>
  <si>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</si>
  <si>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그 힘이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목표를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</si>
  <si>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뜻을 가진 사람들과 함께할 때 내 자리가 또렷해지는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팀에서 앞으로의 그림을 이야기하며 힘을 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꾸는 꿈보다 같이 꾸는 꿈에 마음이 더 오래 머물러요</t>
    </r>
    <r>
      <rPr>
        <sz val="10"/>
        <rFont val="맑은 고딕"/>
        <family val="0"/>
        <charset val="1"/>
      </rPr>
      <t xml:space="preserve">.</t>
    </r>
  </si>
  <si>
    <t xml:space="preserve">HS_SUN_H12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</si>
  <si>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쉼과 내면</t>
    </r>
  </si>
  <si>
    <r>
      <rPr>
        <sz val="10"/>
        <rFont val="Noto Sans CJK SC"/>
        <family val="2"/>
      </rPr>
      <t xml:space="preserve">그 힘이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보이지 않는 곳을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</si>
  <si>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조용한 곳에서 생각을 정리할 때 중심이 잡히는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시간은 도망이 아니라 다시 채우는 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않는 돌봄이나 정리에서 나다움이 빛나기도 해요</t>
    </r>
    <r>
      <rPr>
        <sz val="10"/>
        <rFont val="맑은 고딕"/>
        <family val="0"/>
        <charset val="1"/>
      </rPr>
      <t xml:space="preserve">.</t>
    </r>
  </si>
  <si>
    <t xml:space="preserve">HS_MOON_H01</t>
  </si>
  <si>
    <r>
      <rPr>
        <sz val="10"/>
        <rFont val="Noto Sans CJK SC"/>
        <family val="2"/>
      </rPr>
      <t xml:space="preserve">마음의 안정이 나를 있는 그대로 드러낼 때 찾아와요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</si>
  <si>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표정과 몸짓에 금방 비치는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숨기기보다 솔직하게 알아차릴 때 마음이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내 컨디션을 먼저 살피는 습관이 안정의 출발점이 돼요</t>
    </r>
    <r>
      <rPr>
        <sz val="10"/>
        <rFont val="맑은 고딕"/>
        <family val="0"/>
        <charset val="1"/>
      </rPr>
      <t xml:space="preserve">.</t>
    </r>
  </si>
  <si>
    <t xml:space="preserve">HS_MOON_H02</t>
  </si>
  <si>
    <r>
      <rPr>
        <sz val="10"/>
        <rFont val="Noto Sans CJK SC"/>
        <family val="2"/>
      </rPr>
      <t xml:space="preserve">마음의 안정이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자기가치에서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</si>
  <si>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바탕이 안정돼 있을 때 마음도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내 것에 둘러싸이면 기분이 차분해져요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통장 잔고로만 재지 않는 연습도 함께하면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</si>
  <si>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자기가치 문장에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표현 사용 — 돈 이야기 수위 괜찮은지 확인 부탁</t>
    </r>
  </si>
  <si>
    <t xml:space="preserve">HS_MOON_H03</t>
  </si>
  <si>
    <r>
      <rPr>
        <sz val="10"/>
        <rFont val="Noto Sans CJK SC"/>
        <family val="2"/>
      </rPr>
      <t xml:space="preserve">마음의 안정이 가까운 사람들과 나누는 말에서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</si>
  <si>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메시지를 주고받거나 함께 동네를 걷는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</si>
  <si>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t xml:space="preserve">HS_MOON_H04</t>
  </si>
  <si>
    <r>
      <rPr>
        <sz val="10"/>
        <rFont val="Noto Sans CJK SC"/>
        <family val="2"/>
      </rPr>
      <t xml:space="preserve">마음의 안정이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뿌리에서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</si>
  <si>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공간과 가까운 사람이 곁에 있을 때 마음이 가장 편해지는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정돈돼 있으면 하루의 감정도 정돈돼요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나만의 쉴 자리를 하나 마련해 두면 흔들릴 때 돌아갈 곳이 됩니다</t>
    </r>
    <r>
      <rPr>
        <sz val="10"/>
        <rFont val="맑은 고딕"/>
        <family val="0"/>
        <charset val="1"/>
      </rPr>
      <t xml:space="preserve">.</t>
    </r>
  </si>
  <si>
    <t xml:space="preserve">HS_MOON_H05</t>
  </si>
  <si>
    <r>
      <rPr>
        <sz val="10"/>
        <rFont val="Noto Sans CJK SC"/>
        <family val="2"/>
      </rPr>
      <t xml:space="preserve">마음의 안정이 즐겁게 몰입하는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</si>
  <si>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취미에 빠져 있을 때 걱정을 잠시 내려놓는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요리처럼 무언가를 만들어 내는 일이 마음을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마음껏 웃는 시간이 생각보다 큰 안정이 돼요</t>
    </r>
    <r>
      <rPr>
        <sz val="10"/>
        <rFont val="맑은 고딕"/>
        <family val="0"/>
        <charset val="1"/>
      </rPr>
      <t xml:space="preserve">.</t>
    </r>
  </si>
  <si>
    <t xml:space="preserve">HS_MOON_H06</t>
  </si>
  <si>
    <r>
      <rPr>
        <sz val="10"/>
        <rFont val="Noto Sans CJK SC"/>
        <family val="2"/>
      </rPr>
      <t xml:space="preserve">마음의 안정이 매일의 루틴과 몸의 리듬에서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</si>
  <si>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시간에 일어나고 할 일을 하나씩 지워 갈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리듬이 흐트러지면 기분도 함께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날일수록 산책이나 차 한 잔 같은 작은 루틴 하나는 챙겨 보세요</t>
    </r>
    <r>
      <rPr>
        <sz val="10"/>
        <rFont val="맑은 고딕"/>
        <family val="0"/>
        <charset val="1"/>
      </rPr>
      <t xml:space="preserve">.</t>
    </r>
  </si>
  <si>
    <t xml:space="preserve">HS_MOON_H07</t>
  </si>
  <si>
    <r>
      <rPr>
        <sz val="10"/>
        <rFont val="Noto Sans CJK SC"/>
        <family val="2"/>
      </rPr>
      <t xml:space="preserve">마음의 안정이 곁에 있는 한 사람과의 관계에서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</si>
  <si>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믿을 수 있는 한 사람과 마음을 나눌 때 가장 편안해지는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기분에 민감해서 분위기를 먼저 살피기도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마음도 상대만큼 소중하다는 걸 기억하면 관계가 한결 가벼워져요</t>
    </r>
    <r>
      <rPr>
        <sz val="10"/>
        <rFont val="맑은 고딕"/>
        <family val="0"/>
        <charset val="1"/>
      </rPr>
      <t xml:space="preserve">.</t>
    </r>
  </si>
  <si>
    <t xml:space="preserve">HS_MOON_H08</t>
  </si>
  <si>
    <r>
      <rPr>
        <sz val="10"/>
        <rFont val="Noto Sans CJK SC"/>
        <family val="2"/>
      </rPr>
      <t xml:space="preserve">마음의 안정이 깊이 믿을 수 있는 유대에서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</si>
  <si>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겉도는 관계보다 속마음까지 나눌 수 있는 사이에서 마음이 놓이는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깊이 느끼는 만큼 쉽게 털어놓지 않을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한 사람에게 조금씩 꺼내 보는 것이 안정에 도움이 됩니다</t>
    </r>
    <r>
      <rPr>
        <sz val="10"/>
        <rFont val="맑은 고딕"/>
        <family val="0"/>
        <charset val="1"/>
      </rPr>
      <t xml:space="preserve">.</t>
    </r>
  </si>
  <si>
    <t xml:space="preserve">HS_MOON_H09</t>
  </si>
  <si>
    <r>
      <rPr>
        <sz val="10"/>
        <rFont val="Noto Sans CJK SC"/>
        <family val="2"/>
      </rPr>
      <t xml:space="preserve">마음의 안정이 넓은 배움과 나만의 믿음에서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</si>
  <si>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답답할 때 낯선 곳으로 떠나거나 새 책을 펼치면 숨통이 트이는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넓게 바라보는 관점이 생기면 작은 일에 덜 흔들립니다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믿는 가치를 한 문장으로 적어 두면 기댈 곳이 돼요</t>
    </r>
    <r>
      <rPr>
        <sz val="10"/>
        <rFont val="맑은 고딕"/>
        <family val="0"/>
        <charset val="1"/>
      </rPr>
      <t xml:space="preserve">.</t>
    </r>
  </si>
  <si>
    <t xml:space="preserve">HS_MOON_H10</t>
  </si>
  <si>
    <r>
      <rPr>
        <sz val="10"/>
        <rFont val="Noto Sans CJK SC"/>
        <family val="2"/>
      </rPr>
      <t xml:space="preserve">마음의 안정이 일과 사회 속 내 자리에서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</si>
  <si>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역할을 잘 해내고 인정받을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흔들리면 기분까지 함께 흔들리기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밖에서도 나를 쉬게 하는 자리를 하나 두면 균형이 잡힙니다</t>
    </r>
    <r>
      <rPr>
        <sz val="10"/>
        <rFont val="맑은 고딕"/>
        <family val="0"/>
        <charset val="1"/>
      </rPr>
      <t xml:space="preserve">.</t>
    </r>
  </si>
  <si>
    <t xml:space="preserve">HS_MOON_H11</t>
  </si>
  <si>
    <r>
      <rPr>
        <sz val="10"/>
        <rFont val="Noto Sans CJK SC"/>
        <family val="2"/>
      </rPr>
      <t xml:space="preserve">마음의 안정이 함께하는 사람들과 공동체에서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</si>
  <si>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친구들이나 모임 안에 있을 때 편안함을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방향을 바라보는 사람들이 있다는 사실만으로도 든든해집니다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내 사람들에게 기대는 것도 좋은 방법이에요</t>
    </r>
    <r>
      <rPr>
        <sz val="10"/>
        <rFont val="맑은 고딕"/>
        <family val="0"/>
        <charset val="1"/>
      </rPr>
      <t xml:space="preserve">.</t>
    </r>
  </si>
  <si>
    <t xml:space="preserve">HS_MOON_H12</t>
  </si>
  <si>
    <r>
      <rPr>
        <sz val="10"/>
        <rFont val="Noto Sans CJK SC"/>
        <family val="2"/>
      </rPr>
      <t xml:space="preserve">마음의 안정이 혼자 쉬며 정리하는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</si>
  <si>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쌓인 감정을 혼자 있는 시간에 천천히 풀어내는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음악이나 일기처럼 나만 아는 쉼이 마음을 다시 채워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피곤할 때는 약속을 하나 줄이고 쉬는 것도 나를 돌보는 일입니다</t>
    </r>
    <r>
      <rPr>
        <sz val="10"/>
        <rFont val="맑은 고딕"/>
        <family val="0"/>
        <charset val="1"/>
      </rPr>
      <t xml:space="preserve">.</t>
    </r>
  </si>
  <si>
    <t xml:space="preserve">HS_MERCURY_H01</t>
  </si>
  <si>
    <r>
      <rPr>
        <sz val="10"/>
        <rFont val="Noto Sans CJK SC"/>
        <family val="2"/>
      </rPr>
      <t xml:space="preserve">생각과 말이 나를 표현하는 방식으로 바로 드러나요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</si>
  <si>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머릿속에 떠오른 생각이 말과 표정으로 금방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대화에서 재치 있고 똑똑하다는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말하기 전에 한 박자 쉬어 가면 내 뜻이 더 정확히 전해져요</t>
    </r>
    <r>
      <rPr>
        <sz val="10"/>
        <rFont val="맑은 고딕"/>
        <family val="0"/>
        <charset val="1"/>
      </rPr>
      <t xml:space="preserve">.</t>
    </r>
  </si>
  <si>
    <t xml:space="preserve">HS_MERCURY_H02</t>
  </si>
  <si>
    <r>
      <rPr>
        <sz val="10"/>
        <rFont val="Noto Sans CJK SC"/>
        <family val="2"/>
      </rPr>
      <t xml:space="preserve">생각과 말이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가치를 따지는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</si>
  <si>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무엇이 내게 쓸모 있고 값진지 꼼꼼히 따져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가계부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계획처럼 생각을 실제 살림에 연결하는 데 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아이디어 자체가 나의 재산이 될 수도 있습니다</t>
    </r>
    <r>
      <rPr>
        <sz val="10"/>
        <rFont val="맑은 고딕"/>
        <family val="0"/>
        <charset val="1"/>
      </rPr>
      <t xml:space="preserve">.</t>
    </r>
  </si>
  <si>
    <t xml:space="preserve">HS_MERCURY_H03</t>
  </si>
  <si>
    <r>
      <rPr>
        <sz val="10"/>
        <rFont val="Noto Sans CJK SC"/>
        <family val="2"/>
      </rPr>
      <t xml:space="preserve">생각과 말이 배움과 가까운 사람들과의 대화로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</si>
  <si>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바로 찾아보고 누군가와 나누고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수다처럼 가볍게 오가는 말에 재능이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여러 갈래로 뻗을 때는 메모로 붙잡아 두면 좋아요</t>
    </r>
    <r>
      <rPr>
        <sz val="10"/>
        <rFont val="맑은 고딕"/>
        <family val="0"/>
        <charset val="1"/>
      </rPr>
      <t xml:space="preserve">.</t>
    </r>
  </si>
  <si>
    <t xml:space="preserve">HS_MERCURY_H04</t>
  </si>
  <si>
    <r>
      <rPr>
        <sz val="10"/>
        <rFont val="Noto Sans CJK SC"/>
        <family val="2"/>
      </rPr>
      <t xml:space="preserve">생각과 말이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</si>
  <si>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짧게 이야기를 주고받다 보면 생각이 정리돼요</t>
    </r>
    <r>
      <rPr>
        <sz val="10"/>
        <rFont val="맑은 고딕"/>
        <family val="0"/>
        <charset val="1"/>
      </rPr>
      <t xml:space="preserve">.</t>
    </r>
  </si>
  <si>
    <t xml:space="preserve">HS_MERCURY_H05</t>
  </si>
  <si>
    <r>
      <rPr>
        <sz val="10"/>
        <rFont val="Noto Sans CJK SC"/>
        <family val="2"/>
      </rPr>
      <t xml:space="preserve">생각과 말이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</si>
  <si>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말장난이나 엉뚱한 상상처럼 생각을 놀이로 바꾸는 데 능한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기획처럼 아이디어를 표현하는 일에서 즐거움을 느껴요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이야기할 때 말에 생기가 돌아요</t>
    </r>
    <r>
      <rPr>
        <sz val="10"/>
        <rFont val="맑은 고딕"/>
        <family val="0"/>
        <charset val="1"/>
      </rPr>
      <t xml:space="preserve">.</t>
    </r>
  </si>
  <si>
    <t xml:space="preserve">HS_MERCURY_H06</t>
  </si>
  <si>
    <r>
      <rPr>
        <sz val="10"/>
        <rFont val="Noto Sans CJK SC"/>
        <family val="2"/>
      </rPr>
      <t xml:space="preserve">생각과 말이 매일의 일과 루틴을 정리하는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</si>
  <si>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목록을 만들고 순서를 정할 때 머리가 맑아지는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작은 빈틈을 잘 찾아내고 고치는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쉬지 않을 때는 잠들기 전 메모로 머리를 비워 주면 좋아요</t>
    </r>
    <r>
      <rPr>
        <sz val="10"/>
        <rFont val="맑은 고딕"/>
        <family val="0"/>
        <charset val="1"/>
      </rPr>
      <t xml:space="preserve">.</t>
    </r>
  </si>
  <si>
    <t xml:space="preserve">HS_MERCURY_H07</t>
  </si>
  <si>
    <r>
      <rPr>
        <sz val="10"/>
        <rFont val="Noto Sans CJK SC"/>
        <family val="2"/>
      </rPr>
      <t xml:space="preserve">생각과 말이 일대일 대화와 파트너와의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</si>
  <si>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고민하기보다 마주 앉은 한 사람과 이야기하며 생각을 정리하는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말을 잘 듣고 균형 있게 답하는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결정일수록 믿는 사람과 한 번 의논해 보면 좋습니다</t>
    </r>
    <r>
      <rPr>
        <sz val="10"/>
        <rFont val="맑은 고딕"/>
        <family val="0"/>
        <charset val="1"/>
      </rPr>
      <t xml:space="preserve">.</t>
    </r>
  </si>
  <si>
    <t xml:space="preserve">HS_MERCURY_H08</t>
  </si>
  <si>
    <r>
      <rPr>
        <sz val="10"/>
        <rFont val="Noto Sans CJK SC"/>
        <family val="2"/>
      </rPr>
      <t xml:space="preserve">생각과 말이 깊은 속마음과 숨은 이유를 살피는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</si>
  <si>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드러난 말보다 그 뒤에 있는 진짜 이유가 궁금한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주제를 깊이 파고드는 집중력이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깊어질 때는 가볍게 바람을 쐬며 머리를 식혀 주세요</t>
    </r>
    <r>
      <rPr>
        <sz val="10"/>
        <rFont val="맑은 고딕"/>
        <family val="0"/>
        <charset val="1"/>
      </rPr>
      <t xml:space="preserve">.</t>
    </r>
  </si>
  <si>
    <t xml:space="preserve">HS_MERCURY_H09</t>
  </si>
  <si>
    <r>
      <rPr>
        <sz val="10"/>
        <rFont val="Noto Sans CJK SC"/>
        <family val="2"/>
      </rPr>
      <t xml:space="preserve">생각과 말이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큰 질문으로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</si>
  <si>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일보다 ‘왜 그럴까’ 같은 큰 질문에 마음이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외국어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여행 이야기처럼 시야를 넓히는 배움에서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남에게 전할 때 말에 힘이 실려요</t>
    </r>
    <r>
      <rPr>
        <sz val="10"/>
        <rFont val="맑은 고딕"/>
        <family val="0"/>
        <charset val="1"/>
      </rPr>
      <t xml:space="preserve">.</t>
    </r>
  </si>
  <si>
    <t xml:space="preserve">HS_MERCURY_H10</t>
  </si>
  <si>
    <r>
      <rPr>
        <sz val="10"/>
        <rFont val="Noto Sans CJK SC"/>
        <family val="2"/>
      </rPr>
      <t xml:space="preserve">생각과 말이 커리어와 사회 속 역할로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</si>
  <si>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말과 글로 능력을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발표처럼 생각을 정리해 전하는 역할에서 빛나기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생각을 꾸준히 기록해 두면 일의 방향을 잡는 데 도움이 됩니다</t>
    </r>
    <r>
      <rPr>
        <sz val="10"/>
        <rFont val="맑은 고딕"/>
        <family val="0"/>
        <charset val="1"/>
      </rPr>
      <t xml:space="preserve">.</t>
    </r>
  </si>
  <si>
    <t xml:space="preserve">HS_MERCURY_H11</t>
  </si>
  <si>
    <r>
      <rPr>
        <sz val="10"/>
        <rFont val="Noto Sans CJK SC"/>
        <family val="2"/>
      </rPr>
      <t xml:space="preserve">생각과 말이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계획으로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</si>
  <si>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아이디어를 주고받을 때 생각이 빠르게 굴러가는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온라인 공동체에서 정보를 나누고 연결하는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앞으로의 계획을 말로 꺼내 보면 그림이 더 또렷해져요</t>
    </r>
    <r>
      <rPr>
        <sz val="10"/>
        <rFont val="맑은 고딕"/>
        <family val="0"/>
        <charset val="1"/>
      </rPr>
      <t xml:space="preserve">.</t>
    </r>
  </si>
  <si>
    <t xml:space="preserve">HS_MERCURY_H12</t>
  </si>
  <si>
    <r>
      <rPr>
        <sz val="10"/>
        <rFont val="Noto Sans CJK SC"/>
        <family val="2"/>
      </rPr>
      <t xml:space="preserve">생각과 말이 조용한 내면과 혼자만의 정리로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</si>
  <si>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바로 말하기보다 속으로 오래 굴려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시간에 떠오르는 직관과 상상이 풍부해요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마음속 생각을 일기나 메모로 꺼내 두면 머리가 한결 가벼워집니다</t>
    </r>
    <r>
      <rPr>
        <sz val="10"/>
        <rFont val="맑은 고딕"/>
        <family val="0"/>
        <charset val="1"/>
      </rPr>
      <t xml:space="preserve">.</t>
    </r>
  </si>
  <si>
    <t xml:space="preserve">HS_VENUS_H01</t>
  </si>
  <si>
    <r>
      <rPr>
        <sz val="10"/>
        <rFont val="Noto Sans CJK SC"/>
        <family val="2"/>
      </rPr>
      <t xml:space="preserve">좋아하는 마음이 나를 꾸미고 드러내는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</si>
  <si>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부드럽고 호감 가는 첫인상을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말투처럼 나를 표현하는 방식에 나만의 취향이 담겨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아끼는 마음이 관계의 분위기까지 밝혀 줘요</t>
    </r>
    <r>
      <rPr>
        <sz val="10"/>
        <rFont val="맑은 고딕"/>
        <family val="0"/>
        <charset val="1"/>
      </rPr>
      <t xml:space="preserve">.</t>
    </r>
  </si>
  <si>
    <t xml:space="preserve">HS_VENUS_H02</t>
  </si>
  <si>
    <r>
      <rPr>
        <sz val="10"/>
        <rFont val="Noto Sans CJK SC"/>
        <family val="2"/>
      </rPr>
      <t xml:space="preserve">좋아하는 마음이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</si>
  <si>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마음에 드는 물건을 고르는 안목이 좋은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아름답고 편안한 것에 돈을 쓸 때 만족이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스스로 인정하는 만큼 생활도 넉넉하게 느껴집니다</t>
    </r>
    <r>
      <rPr>
        <sz val="10"/>
        <rFont val="맑은 고딕"/>
        <family val="0"/>
        <charset val="1"/>
      </rPr>
      <t xml:space="preserve">.</t>
    </r>
  </si>
  <si>
    <t xml:space="preserve">HS_VENUS_H03</t>
  </si>
  <si>
    <r>
      <rPr>
        <sz val="10"/>
        <rFont val="Noto Sans CJK SC"/>
        <family val="2"/>
      </rPr>
      <t xml:space="preserve">좋아하는 마음이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이웃과의 교류에서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</si>
  <si>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말 한마디로 분위기를 부드럽게 만드는 재주가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친구나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동네 사람들과 편하게 어울리는 관계를 좋아합니다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예쁜 문장이나 재미있는 배움에서 기쁨을 찾기도 해요</t>
    </r>
    <r>
      <rPr>
        <sz val="10"/>
        <rFont val="맑은 고딕"/>
        <family val="0"/>
        <charset val="1"/>
      </rPr>
      <t xml:space="preserve">.</t>
    </r>
  </si>
  <si>
    <t xml:space="preserve">HS_VENUS_H04</t>
  </si>
  <si>
    <r>
      <rPr>
        <sz val="10"/>
        <rFont val="Noto Sans CJK SC"/>
        <family val="2"/>
      </rPr>
      <t xml:space="preserve">좋아하는 마음이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편안한 공간에서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</si>
  <si>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내 취향으로 아늑하게 꾸밀 때 행복을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집으로 초대해 함께 밥을 먹는 시간이 소중합니다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공간이 곧 관계를 지키는 힘이 돼요</t>
    </r>
    <r>
      <rPr>
        <sz val="10"/>
        <rFont val="맑은 고딕"/>
        <family val="0"/>
        <charset val="1"/>
      </rPr>
      <t xml:space="preserve">.</t>
    </r>
  </si>
  <si>
    <t xml:space="preserve">HS_VENUS_H05</t>
  </si>
  <si>
    <r>
      <rPr>
        <sz val="10"/>
        <rFont val="Noto Sans CJK SC"/>
        <family val="2"/>
      </rPr>
      <t xml:space="preserve">좋아하는 마음이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창작에서 활짝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</si>
  <si>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사랑하고 즐기는 일에 마음을 아끼지 않는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설레는 관계처럼 기쁨을 주는 것에 자연스럽게 끌려요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마음껏 즐기는 시간이 삶에 윤기를 더해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</si>
  <si>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영역 — 만남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씀</t>
    </r>
  </si>
  <si>
    <t xml:space="preserve">HS_VENUS_H06</t>
  </si>
  <si>
    <r>
      <rPr>
        <sz val="10"/>
        <rFont val="Noto Sans CJK SC"/>
        <family val="2"/>
      </rPr>
      <t xml:space="preserve">좋아하는 마음이 매일의 일과 루틴을 가꾸는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</si>
  <si>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공간을 예쁘게 정돈하고 동료와 좋은 분위기를 만드는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 속 작은 즐거움이 하루를 버티게 하는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돌보는 루틴도 즐거운 의식처럼 만들면 오래 이어 가기 쉬워요</t>
    </r>
    <r>
      <rPr>
        <sz val="10"/>
        <rFont val="맑은 고딕"/>
        <family val="0"/>
        <charset val="1"/>
      </rPr>
      <t xml:space="preserve">.</t>
    </r>
  </si>
  <si>
    <t xml:space="preserve">HS_VENUS_H07</t>
  </si>
  <si>
    <r>
      <rPr>
        <sz val="10"/>
        <rFont val="Noto Sans CJK SC"/>
        <family val="2"/>
      </rPr>
      <t xml:space="preserve">좋아하는 마음이 일대일 관계와 파트너십에서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</si>
  <si>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한 사람과 조화롭게 지내는 것을 중요하게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배려하고 맞춰 주는 데 능해서 관계가 부드러워요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내가 원하는 것도 말로 꺼낼 때 관계가 더 오래 편안해집니다</t>
    </r>
    <r>
      <rPr>
        <sz val="10"/>
        <rFont val="맑은 고딕"/>
        <family val="0"/>
        <charset val="1"/>
      </rPr>
      <t xml:space="preserve">.</t>
    </r>
  </si>
  <si>
    <t xml:space="preserve">HS_VENUS_H08</t>
  </si>
  <si>
    <r>
      <rPr>
        <sz val="10"/>
        <rFont val="Noto Sans CJK SC"/>
        <family val="2"/>
      </rPr>
      <t xml:space="preserve">좋아하는 마음이 깊은 유대와 함께 나누는 것을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</si>
  <si>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스치는 호감보다 깊고 진한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마음뿐 아니라 시간과 살림까지 함께 나누는 사이를 소중히 여깁니다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믿음이 쌓일수록 관계가 더 깊은 빛을 내요</t>
    </r>
    <r>
      <rPr>
        <sz val="10"/>
        <rFont val="맑은 고딕"/>
        <family val="0"/>
        <charset val="1"/>
      </rPr>
      <t xml:space="preserve">.</t>
    </r>
  </si>
  <si>
    <t xml:space="preserve">HS_VENUS_H09</t>
  </si>
  <si>
    <r>
      <rPr>
        <sz val="10"/>
        <rFont val="Noto Sans CJK SC"/>
        <family val="2"/>
      </rPr>
      <t xml:space="preserve">좋아하는 마음이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문화에서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</si>
  <si>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나라의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풍경에서 설렘을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넓고 배울 점이 있는 사람에게 마음이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새로운 공부가 삶의 기쁨을 채워 주는 통로가 됩니다</t>
    </r>
    <r>
      <rPr>
        <sz val="10"/>
        <rFont val="맑은 고딕"/>
        <family val="0"/>
        <charset val="1"/>
      </rPr>
      <t xml:space="preserve">.</t>
    </r>
  </si>
  <si>
    <t xml:space="preserve">HS_VENUS_H10</t>
  </si>
  <si>
    <r>
      <rPr>
        <sz val="10"/>
        <rFont val="Noto Sans CJK SC"/>
        <family val="2"/>
      </rPr>
      <t xml:space="preserve">좋아하는 마음이 커리어와 사회 속 역할로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</si>
  <si>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호감 가고 세련된 사람으로 기억되기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다루는 일에서 재능이 빛나는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일과 연결할 때 일하는 기쁨도 커져요</t>
    </r>
    <r>
      <rPr>
        <sz val="10"/>
        <rFont val="맑은 고딕"/>
        <family val="0"/>
        <charset val="1"/>
      </rPr>
      <t xml:space="preserve">.</t>
    </r>
  </si>
  <si>
    <t xml:space="preserve">HS_VENUS_H11</t>
  </si>
  <si>
    <r>
      <rPr>
        <sz val="10"/>
        <rFont val="Noto Sans CJK SC"/>
        <family val="2"/>
      </rPr>
      <t xml:space="preserve">좋아하는 마음이 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꾸는 꿈에서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</si>
  <si>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친구들과 어울리는 시간이 큰 기쁨인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안에서 사람들을 이어 주고 분위기를 부드럽게 만드는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미래가 있을 때 관계가 더 깊어져요</t>
    </r>
    <r>
      <rPr>
        <sz val="10"/>
        <rFont val="맑은 고딕"/>
        <family val="0"/>
        <charset val="1"/>
      </rPr>
      <t xml:space="preserve">.</t>
    </r>
  </si>
  <si>
    <t xml:space="preserve">HS_VENUS_H12</t>
  </si>
  <si>
    <r>
      <rPr>
        <sz val="10"/>
        <rFont val="Noto Sans CJK SC"/>
        <family val="2"/>
      </rPr>
      <t xml:space="preserve">좋아하는 마음이 조용한 쉼과 나만 아는 기쁨에서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</si>
  <si>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다정함을 나 자신에게도 나눠 주면 마음이 한결 채워집니다</t>
    </r>
    <r>
      <rPr>
        <sz val="10"/>
        <rFont val="맑은 고딕"/>
        <family val="0"/>
        <charset val="1"/>
      </rPr>
      <t xml:space="preserve">.</t>
    </r>
  </si>
  <si>
    <t xml:space="preserve">HS_MARS_H01</t>
  </si>
  <si>
    <r>
      <rPr>
        <sz val="10"/>
        <rFont val="Noto Sans CJK SC"/>
        <family val="2"/>
      </rPr>
      <t xml:space="preserve">의욕과 행동이 나 자신을 앞세우는 쪽으로 곧장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</si>
  <si>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몸이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활기차고 당당한 첫인상을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빠른 만큼 가끔 숨을 고르며 방향을 확인하면 힘을 더 오래 쓸 수 있어요</t>
    </r>
    <r>
      <rPr>
        <sz val="10"/>
        <rFont val="맑은 고딕"/>
        <family val="0"/>
        <charset val="1"/>
      </rPr>
      <t xml:space="preserve">.</t>
    </r>
  </si>
  <si>
    <t xml:space="preserve">HS_MARS_H02</t>
  </si>
  <si>
    <r>
      <rPr>
        <sz val="10"/>
        <rFont val="Noto Sans CJK SC"/>
        <family val="2"/>
      </rPr>
      <t xml:space="preserve">의욕과 행동이 돈을 벌고 내 것을 지키는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</si>
  <si>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것이 있으면 직접 벌어서 손에 넣으려는 추진력이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것과 내 기준을 지키는 일에 힘이 많이 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쓰고 싶을 때는 하루만 미뤄 보는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</si>
  <si>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HS_MARS_H03</t>
  </si>
  <si>
    <r>
      <rPr>
        <sz val="10"/>
        <rFont val="Noto Sans CJK SC"/>
        <family val="2"/>
      </rPr>
      <t xml:space="preserve">의욕과 행동이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</si>
  <si>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말이 있으면 빠르고 분명하게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것이 생기면 바로 찾아 나서는 행동력이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열기가 실릴 때는 단어를 한 번 고른 뒤 꺼내면 뜻이 더 잘 닿아요</t>
    </r>
    <r>
      <rPr>
        <sz val="10"/>
        <rFont val="맑은 고딕"/>
        <family val="0"/>
        <charset val="1"/>
      </rPr>
      <t xml:space="preserve">.</t>
    </r>
  </si>
  <si>
    <t xml:space="preserve">HS_MARS_H04</t>
  </si>
  <si>
    <r>
      <rPr>
        <sz val="10"/>
        <rFont val="Noto Sans CJK SC"/>
        <family val="2"/>
      </rPr>
      <t xml:space="preserve">의욕과 행동이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공간을 가꾸는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</si>
  <si>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고치고 정리하는 일에 힘을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지키려는 마음이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집 안에서 감정이 뜨거워지기도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열이 오를 때는 몸을 움직여 풀고 나서 대화하면 좋습니다</t>
    </r>
    <r>
      <rPr>
        <sz val="10"/>
        <rFont val="맑은 고딕"/>
        <family val="0"/>
        <charset val="1"/>
      </rPr>
      <t xml:space="preserve">.</t>
    </r>
  </si>
  <si>
    <t xml:space="preserve">집 안에서 감정이 뜨거워진다는 표현 — 가족 갈등 암시로 읽히지 않는지 확인 부탁</t>
  </si>
  <si>
    <t xml:space="preserve">HS_MARS_H05</t>
  </si>
  <si>
    <r>
      <rPr>
        <sz val="10"/>
        <rFont val="Noto Sans CJK SC"/>
        <family val="2"/>
      </rPr>
      <t xml:space="preserve">의욕과 행동이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</si>
  <si>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것이 생기면 열정적으로 뛰어드는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몸과 마음을 다 쓰는 놀이에서 에너지가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표현하고 싶은 마음을 망설이지 않는 용기가 있어요</t>
    </r>
    <r>
      <rPr>
        <sz val="10"/>
        <rFont val="맑은 고딕"/>
        <family val="0"/>
        <charset val="1"/>
      </rPr>
      <t xml:space="preserve">.</t>
    </r>
  </si>
  <si>
    <t xml:space="preserve">HS_MARS_H06</t>
  </si>
  <si>
    <r>
      <rPr>
        <sz val="10"/>
        <rFont val="Noto Sans CJK SC"/>
        <family val="2"/>
      </rPr>
      <t xml:space="preserve">의욕과 행동이 매일의 일과 몸의 리듬으로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</si>
  <si>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빠르고 부지런하게 해치우는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움직이는 루틴이 있을 때 하루의 힘이 잘 돌아갑니다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쉬지 않고 달리기 쉬우니 피로가 쌓이기 전에 쉬는 시간을 일정에 넣어 두세요</t>
    </r>
    <r>
      <rPr>
        <sz val="10"/>
        <rFont val="맑은 고딕"/>
        <family val="0"/>
        <charset val="1"/>
      </rPr>
      <t xml:space="preserve">.</t>
    </r>
  </si>
  <si>
    <t xml:space="preserve">HS_MARS_H07</t>
  </si>
  <si>
    <r>
      <rPr>
        <sz val="10"/>
        <rFont val="Noto Sans CJK SC"/>
        <family val="2"/>
      </rPr>
      <t xml:space="preserve">의욕과 행동이 일대일 관계와 파트너와의 협력으로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</si>
  <si>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혼자보다 함께 움직일 때 추진력이 붙는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 안에서 의견이 부딪히면 솔직하게 맞서기도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속도를 확인하며 같은 목표를 정하면 둘의 힘이 크게 모입니다</t>
    </r>
    <r>
      <rPr>
        <sz val="10"/>
        <rFont val="맑은 고딕"/>
        <family val="0"/>
        <charset val="1"/>
      </rPr>
      <t xml:space="preserve">.</t>
    </r>
  </si>
  <si>
    <t xml:space="preserve">관계에서 의견 충돌 언급 — 톤 확인 부탁</t>
  </si>
  <si>
    <t xml:space="preserve">HS_MARS_H08</t>
  </si>
  <si>
    <r>
      <rPr>
        <sz val="10"/>
        <rFont val="Noto Sans CJK SC"/>
        <family val="2"/>
      </rPr>
      <t xml:space="preserve">의욕과 행동이 깊은 유대를 지키고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</si>
  <si>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마주하려는 편이에요</t>
    </r>
    <r>
      <rPr>
        <sz val="10"/>
        <rFont val="맑은 고딕"/>
        <family val="0"/>
        <charset val="1"/>
      </rPr>
      <t xml:space="preserve">.</t>
    </r>
  </si>
  <si>
    <t xml:space="preserve">HS_MARS_H09</t>
  </si>
  <si>
    <r>
      <rPr>
        <sz val="10"/>
        <rFont val="Noto Sans CJK SC"/>
        <family val="2"/>
      </rPr>
      <t xml:space="preserve">의욕과 행동이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</si>
  <si>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곳으로 떠나거나 큰 배움에 도전할 때 의욕이 솟는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옳다고 믿는 것을 위해 적극적으로 나서기도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신념이 뜨거울수록 다른 생각도 한 번 들어 보면 힘이 더 넓게 쓰여요</t>
    </r>
    <r>
      <rPr>
        <sz val="10"/>
        <rFont val="맑은 고딕"/>
        <family val="0"/>
        <charset val="1"/>
      </rPr>
      <t xml:space="preserve">.</t>
    </r>
  </si>
  <si>
    <t xml:space="preserve">HS_MARS_H10</t>
  </si>
  <si>
    <r>
      <rPr>
        <sz val="10"/>
        <rFont val="Noto Sans CJK SC"/>
        <family val="2"/>
      </rPr>
      <t xml:space="preserve">의욕과 행동이 커리어와 목표를 이루는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</si>
  <si>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목표가 보이면 힘차게 달려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도전적인 역할을 맡을 때 오히려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성과를 향해 가는 만큼 쉼의 자리도 함께 챙겨 두면 좋습니다</t>
    </r>
    <r>
      <rPr>
        <sz val="10"/>
        <rFont val="맑은 고딕"/>
        <family val="0"/>
        <charset val="1"/>
      </rPr>
      <t xml:space="preserve">.</t>
    </r>
  </si>
  <si>
    <t xml:space="preserve">HS_MARS_H11</t>
  </si>
  <si>
    <r>
      <rPr>
        <sz val="10"/>
        <rFont val="Noto Sans CJK SC"/>
        <family val="2"/>
      </rPr>
      <t xml:space="preserve">의욕과 행동이 사람들과 함께 이루는 미래 목표로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</si>
  <si>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팀이나 모임에서 일을 앞장서 이끄는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꿈을 가진 사람들과 함께할 때 행동력이 배가됩니다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의견이 갈릴 때는 목표를 다시 꺼내 보면 힘을 한데 모으기 쉬워요</t>
    </r>
    <r>
      <rPr>
        <sz val="10"/>
        <rFont val="맑은 고딕"/>
        <family val="0"/>
        <charset val="1"/>
      </rPr>
      <t xml:space="preserve">.</t>
    </r>
  </si>
  <si>
    <t xml:space="preserve">HS_MARS_H12</t>
  </si>
  <si>
    <r>
      <rPr>
        <sz val="10"/>
        <rFont val="Noto Sans CJK SC"/>
        <family val="2"/>
      </rPr>
      <t xml:space="preserve">의욕과 행동이 보이지 않는 곳에서 조용히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</si>
  <si>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뒤에서 묵묵히 일을 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화나 의욕을 겉으로 드러내지 않고 속으로 삭이기도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운동이나 정리처럼 조용히 힘을 쓰는 통로가 있으면 마음이 한결 가벼워집니다</t>
    </r>
    <r>
      <rPr>
        <sz val="10"/>
        <rFont val="맑은 고딕"/>
        <family val="0"/>
        <charset val="1"/>
      </rPr>
      <t xml:space="preserve">.</t>
    </r>
  </si>
  <si>
    <t xml:space="preserve">HS_JUPITER_H01</t>
  </si>
  <si>
    <r>
      <rPr>
        <sz val="10"/>
        <rFont val="Noto Sans CJK SC"/>
        <family val="2"/>
      </rPr>
      <t xml:space="preserve">있는 그대로의 나를 너그럽게 내보이는 힘을 타고났어요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</si>
  <si>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선뜻 많이 잡기 쉬우니 내가 감당할 몫을 한 번 헤아려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</si>
  <si>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HS_JUPITER_H02</t>
  </si>
  <si>
    <r>
      <rPr>
        <sz val="10"/>
        <rFont val="Noto Sans CJK SC"/>
        <family val="2"/>
      </rPr>
      <t xml:space="preserve">내가 가진 것의 쓸모를 넓게 알아보는 감각이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</si>
  <si>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너그러운 만큼 남에게도 후하게 마음을 쓰는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씀씀이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</si>
  <si>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수입 증가 같은 예측 없이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씀씀이 기준 중심으로 썼음</t>
    </r>
    <r>
      <rPr>
        <sz val="10"/>
        <rFont val="맑은 고딕"/>
        <family val="0"/>
        <charset val="1"/>
      </rPr>
      <t xml:space="preserve">.</t>
    </r>
  </si>
  <si>
    <t xml:space="preserve">HS_JUPITER_H03</t>
  </si>
  <si>
    <r>
      <rPr>
        <sz val="10"/>
        <rFont val="Noto Sans CJK SC"/>
        <family val="2"/>
      </rPr>
      <t xml:space="preserve">배우고 말하는 일에서 문이 잘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</si>
  <si>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대화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읽은 글 한 편에서 생각이 크게 뻗어 나가곤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사람들에게 설명하고 이야기를 나누는 일이 자연스러운 즐거움이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관심이 여러 갈래로 퍼지기 쉬우니 끝까지 붙잡을 주제를 하나씩 고르면 배움이 깊어집니다</t>
    </r>
    <r>
      <rPr>
        <sz val="10"/>
        <rFont val="맑은 고딕"/>
        <family val="0"/>
        <charset val="1"/>
      </rPr>
      <t xml:space="preserve">.</t>
    </r>
  </si>
  <si>
    <t xml:space="preserve">HS_JUPITER_H04</t>
  </si>
  <si>
    <r>
      <rPr>
        <sz val="10"/>
        <rFont val="Noto Sans CJK SC"/>
        <family val="2"/>
      </rPr>
      <t xml:space="preserve">집과 마음의 뿌리가 넉넉한 쉼터가 되기 쉬운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</si>
  <si>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머무는 공간을 편안하게 꾸미고 사람을 들이는 일에서 힘을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든든하다는 감각이 바깥일을 버티는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관한 일은 기분이 앞서기 쉬우니 큰 결정 앞에서는 현실 조건을 먼저 살펴보세요</t>
    </r>
    <r>
      <rPr>
        <sz val="10"/>
        <rFont val="맑은 고딕"/>
        <family val="0"/>
        <charset val="1"/>
      </rPr>
      <t xml:space="preserve">.</t>
    </r>
  </si>
  <si>
    <t xml:space="preserve">HS_JUPITER_H05</t>
  </si>
  <si>
    <r>
      <rPr>
        <sz val="10"/>
        <rFont val="Noto Sans CJK SC"/>
        <family val="2"/>
      </rPr>
      <t xml:space="preserve">즐거움과 창작에서 마음이 크게 피어나는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</si>
  <si>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표정부터 달라지고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기운이 주변까지 밝게 번지는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즐겁게 시작한 취미나 만들기가 뜻밖의 기회로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재미있는 일이 너무 많아질 때는 정말 아끼는 것 몇 가지만 남겨 두면 좋아요</t>
    </r>
    <r>
      <rPr>
        <sz val="10"/>
        <rFont val="맑은 고딕"/>
        <family val="0"/>
        <charset val="1"/>
      </rPr>
      <t xml:space="preserve">.</t>
    </r>
  </si>
  <si>
    <t xml:space="preserve">HS_JUPITER_H06</t>
  </si>
  <si>
    <r>
      <rPr>
        <sz val="10"/>
        <rFont val="Noto Sans CJK SC"/>
        <family val="2"/>
      </rPr>
      <t xml:space="preserve">매일의 일과 루틴 속에서 운이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</si>
  <si>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습관으로 만드는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많이 떠맡기 쉬우니 하루에 빈칸을 남겨 두세요</t>
    </r>
    <r>
      <rPr>
        <sz val="10"/>
        <rFont val="맑은 고딕"/>
        <family val="0"/>
        <charset val="1"/>
      </rPr>
      <t xml:space="preserve">.</t>
    </r>
  </si>
  <si>
    <t xml:space="preserve">HS_JUPITER_H07</t>
  </si>
  <si>
    <r>
      <rPr>
        <sz val="10"/>
        <rFont val="Noto Sans CJK SC"/>
        <family val="2"/>
      </rPr>
      <t xml:space="preserve">일대일로 만나는 사람들에게서 길이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</si>
  <si>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일하거나 마주 앉아 의논하는 상대가 새로운 문을 열어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좋은 점을 먼저 알아보는 너그러움이 관계를 오래 받쳐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기대가 커질 때는 서로 바라는 몫을 말로 확인해 두면 그 따뜻함이 지켜집니다</t>
    </r>
    <r>
      <rPr>
        <sz val="10"/>
        <rFont val="맑은 고딕"/>
        <family val="0"/>
        <charset val="1"/>
      </rPr>
      <t xml:space="preserve">.</t>
    </r>
  </si>
  <si>
    <t xml:space="preserve">HS_JUPITER_H08</t>
  </si>
  <si>
    <r>
      <rPr>
        <sz val="10"/>
        <rFont val="Noto Sans CJK SC"/>
        <family val="2"/>
      </rPr>
      <t xml:space="preserve">깊이 믿는 사람과 나눌 때 더 넉넉해지는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</si>
  <si>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 이야기를 털어놓을 수 있는 관계에서 큰 힘을 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도움의 손길이 닿기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막막해 보이던 순간을 지나며 오히려 마음이 넓어지는 경험도 이 자리의 몫입니다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쓰는 돈이나 약속은 넉넉한 마음만큼 기록도 꼼꼼히 남겨 두세요</t>
    </r>
    <r>
      <rPr>
        <sz val="10"/>
        <rFont val="맑은 고딕"/>
        <family val="0"/>
        <charset val="1"/>
      </rPr>
      <t xml:space="preserve">.</t>
    </r>
  </si>
  <si>
    <t xml:space="preserve">HS_JUPITER_H09</t>
  </si>
  <si>
    <r>
      <rPr>
        <sz val="10"/>
        <rFont val="Noto Sans CJK SC"/>
        <family val="2"/>
      </rPr>
      <t xml:space="preserve">넓은 세상과 큰 생각 앞에서 마음이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</si>
  <si>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관점을 만나면 몸까지 가벼워지는 듯한 기분을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나만의 신념으로 엮어 내는 힘이 오래가는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생각이 크게 부풀 때는 오늘 할 수 있는 작은 일 하나로 옮겨 보세요</t>
    </r>
    <r>
      <rPr>
        <sz val="10"/>
        <rFont val="맑은 고딕"/>
        <family val="0"/>
        <charset val="1"/>
      </rPr>
      <t xml:space="preserve">.</t>
    </r>
  </si>
  <si>
    <t xml:space="preserve">HS_JUPITER_H10</t>
  </si>
  <si>
    <r>
      <rPr>
        <sz val="10"/>
        <rFont val="Noto Sans CJK SC"/>
        <family val="2"/>
      </rPr>
      <t xml:space="preserve">일과 사회적 역할에서 기회가 잘 닿는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</si>
  <si>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넓게 보고 사람들을 이끄는 모습이 자연스럽게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제안이나 추천이 이어지기 쉬워 일의 폭이 시간과 함께 넓어져요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해낼 수 있을 것 같은 날에는 우선순위부터 정해 두면 힘이 덜 흩어집니다</t>
    </r>
    <r>
      <rPr>
        <sz val="10"/>
        <rFont val="맑은 고딕"/>
        <family val="0"/>
        <charset val="1"/>
      </rPr>
      <t xml:space="preserve">.</t>
    </r>
  </si>
  <si>
    <t xml:space="preserve">HS_JUPITER_H11</t>
  </si>
  <si>
    <r>
      <rPr>
        <sz val="10"/>
        <rFont val="Noto Sans CJK SC"/>
        <family val="2"/>
      </rPr>
      <t xml:space="preserve">사람들과 어울리며 미래의 목표가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</si>
  <si>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모임에서 새로운 인연과 정보가 줄줄이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꿈을 말하면 도와주겠다는 사람이 나타나는 일이 드물지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많아질수록 나에게 정말 힘이 되는 자리를 골라 마음을 써 보세요</t>
    </r>
    <r>
      <rPr>
        <sz val="10"/>
        <rFont val="맑은 고딕"/>
        <family val="0"/>
        <charset val="1"/>
      </rPr>
      <t xml:space="preserve">.</t>
    </r>
  </si>
  <si>
    <t xml:space="preserve">HS_JUPITER_H12</t>
  </si>
  <si>
    <r>
      <rPr>
        <sz val="10"/>
        <rFont val="Noto Sans CJK SC"/>
        <family val="2"/>
      </rPr>
      <t xml:space="preserve">혼자 쉬는 시간 속에서 조용한 힘이 자라는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</si>
  <si>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드러나지 않는 곳에서 남을 돕거나 마음을 정리할 때 깊은 평온을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고비마다 어디선가 도움이 닿는다고 느끼기도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너그러운 마음에 남의 짐까지 떠안기 쉬우니 내 쉼의 시간은 따로 지켜 두세요</t>
    </r>
    <r>
      <rPr>
        <sz val="10"/>
        <rFont val="맑은 고딕"/>
        <family val="0"/>
        <charset val="1"/>
      </rPr>
      <t xml:space="preserve">.</t>
    </r>
  </si>
  <si>
    <t xml:space="preserve">HS_SATURN_H01</t>
  </si>
  <si>
    <r>
      <rPr>
        <sz val="10"/>
        <rFont val="Noto Sans CJK SC"/>
        <family val="2"/>
      </rPr>
      <t xml:space="preserve">시간을 들여 나다운 모습을 단단히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</si>
  <si>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일찍부터 스스로에게 높은 기준을 두는 편이라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</si>
  <si>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t xml:space="preserve">HS_SATURN_H02</t>
  </si>
  <si>
    <r>
      <rPr>
        <sz val="10"/>
        <rFont val="Noto Sans CJK SC"/>
        <family val="2"/>
      </rPr>
      <t xml:space="preserve">내 것과 자기가치를 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단단하게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</si>
  <si>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내 능력의 값어치를 따질 때 신중하고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넉넉하다는 느낌이 늦게 찾아오는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하나씩 모은 것은 쉽게 흔들리지 않는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낮게 매기고 있다는 생각이 들면 내가 해낸 일의 목록부터 다시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</si>
  <si>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결핍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늦게 오는 넉넉함 → 단단한 바탕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</si>
  <si>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HS_SATURN_H03</t>
  </si>
  <si>
    <r>
      <rPr>
        <sz val="10"/>
        <rFont val="Noto Sans CJK SC"/>
        <family val="2"/>
      </rPr>
      <t xml:space="preserve">생각을 다듬어 정확하게 전하는 힘이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</si>
  <si>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여러 번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배울 때도 기초부터 차근차근 밟아야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걸리는 만큼 한 번 익힌 것은 오래 남고 설명도 깊어집니다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늦다고 조급해질 때는 생각을 먼저 글로 적어 보세요</t>
    </r>
    <r>
      <rPr>
        <sz val="10"/>
        <rFont val="맑은 고딕"/>
        <family val="0"/>
        <charset val="1"/>
      </rPr>
      <t xml:space="preserve">.</t>
    </r>
  </si>
  <si>
    <t xml:space="preserve">HS_SATURN_H04</t>
  </si>
  <si>
    <r>
      <rPr>
        <sz val="10"/>
        <rFont val="Noto Sans CJK SC"/>
        <family val="2"/>
      </rPr>
      <t xml:space="preserve">마음의 뿌리를 스스로 다져 가며 단단해지는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</si>
  <si>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일을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편히 기대기보다 먼저 책임을 떠올리는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다진 생활의 바탕이 시간이 갈수록 나만의 든든한 안식처가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집에서도 긴장이 풀리지 않는 날에는 오롯이 쉬는 시간을 따로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</si>
  <si>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토성 — 가족사 추측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부정적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책임감 → 나중의 안식처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썼음</t>
    </r>
    <r>
      <rPr>
        <sz val="10"/>
        <rFont val="맑은 고딕"/>
        <family val="0"/>
        <charset val="1"/>
      </rPr>
      <t xml:space="preserve">.</t>
    </r>
  </si>
  <si>
    <t xml:space="preserve">HS_SATURN_H05</t>
  </si>
  <si>
    <r>
      <rPr>
        <sz val="10"/>
        <rFont val="Noto Sans CJK SC"/>
        <family val="2"/>
      </rPr>
      <t xml:space="preserve">좋아하는 것을 오래 다듬어 실력으로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</si>
  <si>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마음껏 즐기거나 감정을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결과를 따지지 않고 즐기는 시간을 일부러 만들어 보세요</t>
    </r>
    <r>
      <rPr>
        <sz val="10"/>
        <rFont val="맑은 고딕"/>
        <family val="0"/>
        <charset val="1"/>
      </rPr>
      <t xml:space="preserve">.</t>
    </r>
  </si>
  <si>
    <t xml:space="preserve">HS_SATURN_H06</t>
  </si>
  <si>
    <r>
      <rPr>
        <sz val="10"/>
        <rFont val="Noto Sans CJK SC"/>
        <family val="2"/>
      </rPr>
      <t xml:space="preserve">매일의 루틴을 성실하게 쌓아 믿음을 얻는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</si>
  <si>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꼼꼼히 해내려는 마음이 커서 일상의 무게를 일찍부터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다듬은 일하는 방식과 생활 리듬이 쉽게 흉내 낼 수 없는 강점이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피로가 쌓이는 날에는 해야 할 일보다 쉬는 시간을 먼저 일정에 넣어 보세요</t>
    </r>
    <r>
      <rPr>
        <sz val="10"/>
        <rFont val="맑은 고딕"/>
        <family val="0"/>
        <charset val="1"/>
      </rPr>
      <t xml:space="preserve">.</t>
    </r>
  </si>
  <si>
    <t xml:space="preserve">HS_SATURN_H07</t>
  </si>
  <si>
    <r>
      <rPr>
        <sz val="10"/>
        <rFont val="Noto Sans CJK SC"/>
        <family val="2"/>
      </rPr>
      <t xml:space="preserve">관계를 천천히 깊고 믿음직하게 쌓아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</si>
  <si>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서로의 약속과 책임을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데 시간이 걸리는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확인하며 쌓은 관계는 오래 버티는 신뢰로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모든 몫을 지려 할 때는 바라는 것을 상대에게 한 문장으로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</si>
  <si>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토성 — 관계 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고독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천천히 쌓는 신뢰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</si>
  <si>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HS_SATURN_H08</t>
  </si>
  <si>
    <r>
      <rPr>
        <sz val="10"/>
        <rFont val="Noto Sans CJK SC"/>
        <family val="2"/>
      </rPr>
      <t xml:space="preserve">깊은 신뢰를 시간을 들여 단단히 만드는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</si>
  <si>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속마음이나 함께 쓰는 자원을 쉽게 내맡기지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만한지 오래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조심스러운 만큼 한 번 맺은 깊은 유대는 쉽게 흔들리지 않는 힘이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감당하기 버거운 일이 있다면 믿는 사람 한 명에게 조금씩 나눠 보세요</t>
    </r>
    <r>
      <rPr>
        <sz val="10"/>
        <rFont val="맑은 고딕"/>
        <family val="0"/>
        <charset val="1"/>
      </rPr>
      <t xml:space="preserve">.</t>
    </r>
  </si>
  <si>
    <t xml:space="preserve">HS_SATURN_H09</t>
  </si>
  <si>
    <r>
      <rPr>
        <sz val="10"/>
        <rFont val="Noto Sans CJK SC"/>
        <family val="2"/>
      </rPr>
      <t xml:space="preserve">나만의 신념을 오래 다져 깊은 기준으로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</si>
  <si>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생각이나 먼 길 앞에서 신중해져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여행을 오래 준비하는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직접 확인하며 세운 신념은 쉽게 흔들리지 않는 나침반이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때를 기다리고 있다면 가까운 곳으로 떠나는 짧은 여행이나 하루짜리 수업부터 시작해 보세요</t>
    </r>
    <r>
      <rPr>
        <sz val="10"/>
        <rFont val="맑은 고딕"/>
        <family val="0"/>
        <charset val="1"/>
      </rPr>
      <t xml:space="preserve">.</t>
    </r>
  </si>
  <si>
    <t xml:space="preserve">HS_SATURN_H10</t>
  </si>
  <si>
    <r>
      <rPr>
        <sz val="10"/>
        <rFont val="Noto Sans CJK SC"/>
        <family val="2"/>
      </rPr>
      <t xml:space="preserve">일과 사회적 역할을 시간과 함께 단단히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</si>
  <si>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 있는 역할을 일찍 맡거나 스스로 높은 기준을 세워 일의 무게를 크게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실력과 신뢰로 굳어 갈수록 인정도 천천히 따라오는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더디게 느껴질 때는 지난해의 나와 오늘의 나를 나란히 놓고 견주어 보세요</t>
    </r>
    <r>
      <rPr>
        <sz val="10"/>
        <rFont val="맑은 고딕"/>
        <family val="0"/>
        <charset val="1"/>
      </rPr>
      <t xml:space="preserve">.</t>
    </r>
  </si>
  <si>
    <t xml:space="preserve">HS_SATURN_H11</t>
  </si>
  <si>
    <r>
      <rPr>
        <sz val="10"/>
        <rFont val="Noto Sans CJK SC"/>
        <family val="2"/>
      </rPr>
      <t xml:space="preserve">적지만 깊은 관계 속에서 미래를 단단히 그리는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</si>
  <si>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무리에 쉽게 섞이기보다 한 사람씩 천천히 알아 가는 편이라 북적이는 자리가 어색할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오래 함께할 사람들과 현실적인 목표가 곁에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부담스러운 날에는 마음 편한 한 사람과의 약속부터 잡아 보세요</t>
    </r>
    <r>
      <rPr>
        <sz val="10"/>
        <rFont val="맑은 고딕"/>
        <family val="0"/>
        <charset val="1"/>
      </rPr>
      <t xml:space="preserve">.</t>
    </r>
  </si>
  <si>
    <t xml:space="preserve">HS_SATURN_H12</t>
  </si>
  <si>
    <r>
      <rPr>
        <sz val="10"/>
        <rFont val="Noto Sans CJK SC"/>
        <family val="2"/>
      </rPr>
      <t xml:space="preserve">보이지 않는 곳에서 마음을 정리하는 힘이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</si>
  <si>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걱정이 커지거나 쉬면서도 마음 한쪽이 무거운 날이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꾸준히 정리해 온 경험이 쉽게 무너지지 않는 내면의 힘으로 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꼬리를 물 때는 머릿속 일을 종이에 적어 밖으로 꺼내 보세요</t>
    </r>
    <r>
      <rPr>
        <sz val="10"/>
        <rFont val="맑은 고딕"/>
        <family val="0"/>
        <charset val="1"/>
      </rPr>
      <t xml:space="preserve">.</t>
    </r>
  </si>
  <si>
    <t xml:space="preserve">HS_URANUS_H01</t>
  </si>
  <si>
    <r>
      <rPr>
        <sz val="10"/>
        <rFont val="Noto Sans CJK SC"/>
        <family val="2"/>
      </rPr>
      <t xml:space="preserve">나만의 방식으로 나를 드러내는 독특한 분위기가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</si>
  <si>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유행을 따르기보다 내 마음에 드는 모습을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모습이 시기마다 크게 바뀌기도 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갇히면 답답함이 쉽게 쌓이지만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새로운 자리에 빨리 적응하는 힘이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들썩일 때는 겉모습을 한 가지 바꿔 보는 정도로 변화를 시험해 보세요</t>
    </r>
    <r>
      <rPr>
        <sz val="10"/>
        <rFont val="맑은 고딕"/>
        <family val="0"/>
        <charset val="1"/>
      </rPr>
      <t xml:space="preserve">.</t>
    </r>
  </si>
  <si>
    <t xml:space="preserve">HS_URANUS_H02</t>
  </si>
  <si>
    <r>
      <rPr>
        <sz val="10"/>
        <rFont val="Noto Sans CJK SC"/>
        <family val="2"/>
      </rPr>
      <t xml:space="preserve">돈과 내 가치를 남다른 방식으로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</si>
  <si>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길보다 내 재주를 독특하게 쓰는 방법에서 자기가치를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들어오고 나가는 흐름이 들쭉날쭉하게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새로운 쓰임새를 빨리 알아봅니다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자주 바뀐다면 기본 생활에 쓸 몫은 따로 떼어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</si>
  <si>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수입 변동을 예측처럼 쓰지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느껴질 때도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완화함</t>
    </r>
    <r>
      <rPr>
        <sz val="10"/>
        <rFont val="맑은 고딕"/>
        <family val="0"/>
        <charset val="1"/>
      </rPr>
      <t xml:space="preserve">.</t>
    </r>
  </si>
  <si>
    <t xml:space="preserve">HS_URANUS_H03</t>
  </si>
  <si>
    <r>
      <rPr>
        <sz val="10"/>
        <rFont val="Noto Sans CJK SC"/>
        <family val="2"/>
      </rPr>
      <t xml:space="preserve">생각이 번뜩이고 말이 신선하게 튀어나오는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</si>
  <si>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지나치는 지점에서 엉뚱하지만 쓸모 있는 아이디어를 떠올리는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방식도 정해진 순서보다 호기심이 이끄는 대로 갈 때 더 잘 흡수됩니다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빨라 말이 앞설 때는 한 박자 쉬고 상대의 반응을 살펴보세요</t>
    </r>
    <r>
      <rPr>
        <sz val="10"/>
        <rFont val="맑은 고딕"/>
        <family val="0"/>
        <charset val="1"/>
      </rPr>
      <t xml:space="preserve">.</t>
    </r>
  </si>
  <si>
    <t xml:space="preserve">HS_URANUS_H04</t>
  </si>
  <si>
    <r>
      <rPr>
        <sz val="10"/>
        <rFont val="Noto Sans CJK SC"/>
        <family val="2"/>
      </rPr>
      <t xml:space="preserve">집과 마음의 뿌리에 자유로운 공기가 필요한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</si>
  <si>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한곳에 오래 머물기보다 생활 공간이나 집안 분위기를 자주 바꾸고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틀이 흔들리는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그때마다 나에게 맞는 쉼의 모양을 새로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답답하게 느껴질 때는 가구 배치나 작은 물건 하나를 바꿔 공기를 환기해 보세요</t>
    </r>
    <r>
      <rPr>
        <sz val="10"/>
        <rFont val="맑은 고딕"/>
        <family val="0"/>
        <charset val="1"/>
      </rPr>
      <t xml:space="preserve">.</t>
    </r>
  </si>
  <si>
    <t xml:space="preserve">HS_URANUS_H05</t>
  </si>
  <si>
    <r>
      <rPr>
        <sz val="10"/>
        <rFont val="Noto Sans CJK SC"/>
        <family val="2"/>
      </rPr>
      <t xml:space="preserve">남다른 방식으로 즐기고 표현하는 창작가 기질이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</si>
  <si>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취미나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창작에서 뻔한 방식보다 새롭고 낯선 것에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빠져든 관심사가 뜻밖의 재능을 깨워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흥미가 빨리 바뀌어 아쉬움이 남는다면 끝낸 것보다 시도한 것의 목록을 남겨 보세요</t>
    </r>
    <r>
      <rPr>
        <sz val="10"/>
        <rFont val="맑은 고딕"/>
        <family val="0"/>
        <charset val="1"/>
      </rPr>
      <t xml:space="preserve">.</t>
    </r>
  </si>
  <si>
    <t xml:space="preserve">HS_URANUS_H06</t>
  </si>
  <si>
    <r>
      <rPr>
        <sz val="10"/>
        <rFont val="Noto Sans CJK SC"/>
        <family val="2"/>
      </rPr>
      <t xml:space="preserve">나만의 리듬으로 일할 때 힘이 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</si>
  <si>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똑같은 일과가 반복되면 금방 지루해지고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일하는 방식을 스스로 바꿔 볼 때 집중이 살아나는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도구나 효율적인 방법을 먼저 찾아내는 재주도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루틴이 자주 흐트러진다면 꼭 지킬 기본 습관 한두 가지만 정해 두세요</t>
    </r>
    <r>
      <rPr>
        <sz val="10"/>
        <rFont val="맑은 고딕"/>
        <family val="0"/>
        <charset val="1"/>
      </rPr>
      <t xml:space="preserve">.</t>
    </r>
  </si>
  <si>
    <t xml:space="preserve">HS_URANUS_H07</t>
  </si>
  <si>
    <r>
      <rPr>
        <sz val="10"/>
        <rFont val="Noto Sans CJK SC"/>
        <family val="2"/>
      </rPr>
      <t xml:space="preserve">서로의 자유를 존중하는 관계에서 편안해지는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</si>
  <si>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관계에서도 각자의 공간이 있어야 숨이 트이고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사람에게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관계의 모양이 예상과 다르게 바뀌는 순간이 와도 그때 나에게 맞는 거리를 새로 배우기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가까워질수록 답답해진다면 혼자만의 시간이 필요하다는 것을 미리 말로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</si>
  <si>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천왕성 —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불안정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자유와 거리 조율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</si>
  <si>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HS_URANUS_H08</t>
  </si>
  <si>
    <r>
      <rPr>
        <sz val="10"/>
        <rFont val="Noto Sans CJK SC"/>
        <family val="2"/>
      </rPr>
      <t xml:space="preserve">깊은 변화가 뜻밖의 순간에 찾아와 나를 새롭게 하는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</si>
  <si>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유대나 함께 쓰는 자원에서 예상하지 못한 전환을 겪으며 생각이 확 바뀌는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흔들림이 오히려 낡은 틀을 벗고 새로운 시각을 얻는 계기가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공동의 돈이나 약속은 변화가 생겨도 당황하지 않도록 기본 기록을 남겨 두세요</t>
    </r>
    <r>
      <rPr>
        <sz val="10"/>
        <rFont val="맑은 고딕"/>
        <family val="0"/>
        <charset val="1"/>
      </rPr>
      <t xml:space="preserve">.</t>
    </r>
  </si>
  <si>
    <t xml:space="preserve">HS_URANUS_H09</t>
  </si>
  <si>
    <r>
      <rPr>
        <sz val="10"/>
        <rFont val="Noto Sans CJK SC"/>
        <family val="2"/>
      </rPr>
      <t xml:space="preserve">남다른 생각과 새로운 세계에 끌리는 자유로운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</si>
  <si>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답보다 스스로 찾은 관점을 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문화나 새로운 학문에 금세 빠져드는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배움에서 계획에 없던 길이 더 큰 깨달음을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멀리 날아갈 때는 주변 사람에게 말로 풀어 보며 현실에 맞춰 보세요</t>
    </r>
    <r>
      <rPr>
        <sz val="10"/>
        <rFont val="맑은 고딕"/>
        <family val="0"/>
        <charset val="1"/>
      </rPr>
      <t xml:space="preserve">.</t>
    </r>
  </si>
  <si>
    <t xml:space="preserve">HS_URANUS_H10</t>
  </si>
  <si>
    <r>
      <rPr>
        <sz val="10"/>
        <rFont val="Noto Sans CJK SC"/>
        <family val="2"/>
      </rPr>
      <t xml:space="preserve">일과 커리어에서 남다른 길을 만들어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</si>
  <si>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경로보다 내 방식대로 일할 수 있는 자리에서 힘을 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뜻밖에 방향을 트는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변화가 나만의 역할을 찾아 주는 계기가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길이 끌릴 때는 지금 하는 일과 함께 작게 시험해 보는 단계를 거쳐 보세요</t>
    </r>
    <r>
      <rPr>
        <sz val="10"/>
        <rFont val="맑은 고딕"/>
        <family val="0"/>
        <charset val="1"/>
      </rPr>
      <t xml:space="preserve">.</t>
    </r>
  </si>
  <si>
    <t xml:space="preserve">HS_URANUS_H11</t>
  </si>
  <si>
    <r>
      <rPr>
        <sz val="10"/>
        <rFont val="Noto Sans CJK SC"/>
        <family val="2"/>
      </rPr>
      <t xml:space="preserve">생각이 통하는 사람들과 새로운 미래를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</si>
  <si>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나이나 배경이 다른 사람들과도 쉽게 어울리고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독특한 모임에서 마음이 맞는 친구를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목표가 시대를 앞서가는 아이디어로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자주 바뀌어 허전할 때는 오래 알고 지낸 한 사람에게 먼저 안부를 건네 보세요</t>
    </r>
    <r>
      <rPr>
        <sz val="10"/>
        <rFont val="맑은 고딕"/>
        <family val="0"/>
        <charset val="1"/>
      </rPr>
      <t xml:space="preserve">.</t>
    </r>
  </si>
  <si>
    <t xml:space="preserve">HS_URANUS_H12</t>
  </si>
  <si>
    <r>
      <rPr>
        <sz val="10"/>
        <rFont val="Noto Sans CJK SC"/>
        <family val="2"/>
      </rPr>
      <t xml:space="preserve">혼자 있을 때 번뜩이는 직관이 찾아오는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</si>
  <si>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조용히 쉬거나 잠들기 직전에 문득 해답이 떠오르는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드러내지 않는 내면의 자유로움이 생각보다 큰 버팀목이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들뜨고 잠이 얕아지는 시기에는 하루를 정리하는 짧은 기록으로 생각을 내려놓아 보세요</t>
    </r>
    <r>
      <rPr>
        <sz val="10"/>
        <rFont val="맑은 고딕"/>
        <family val="0"/>
        <charset val="1"/>
      </rPr>
      <t xml:space="preserve">.</t>
    </r>
  </si>
  <si>
    <t xml:space="preserve">HS_NEPTUNE_H01</t>
  </si>
  <si>
    <r>
      <rPr>
        <sz val="10"/>
        <rFont val="Noto Sans CJK SC"/>
        <family val="2"/>
      </rPr>
      <t xml:space="preserve">부드럽고 신비로운 분위기로 사람을 끌어당기는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</si>
  <si>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 따라 다르게 비치는 첫인상 덕분에 다가가기 편한 사람으로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분위기를 잘 흡수하는 만큼 내 마음과 남의 마음이 섞여 헷갈리는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이 기분은 누구의 것일까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</t>
    </r>
  </si>
  <si>
    <t xml:space="preserve">HS_NEPTUNE_H02</t>
  </si>
  <si>
    <r>
      <rPr>
        <sz val="10"/>
        <rFont val="Noto Sans CJK SC"/>
        <family val="2"/>
      </rPr>
      <t xml:space="preserve">돈과 내 것 앞에서 이상과 현실을 함께 챙기면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</si>
  <si>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일이나 아름다운 것에 마음이 끌려 계산보다 감성이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감각은 창작이나 돕는 일에서 나만의 가치를 만들어 주는 재능이기도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흐름이 흐릿하게 느껴진다면 달마다 한 번 수입과 지출을 적어 보는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</si>
  <si>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손실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속임 예측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기준 세우기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행동 제안으로 마무리함</t>
    </r>
    <r>
      <rPr>
        <sz val="10"/>
        <rFont val="맑은 고딕"/>
        <family val="0"/>
        <charset val="1"/>
      </rPr>
      <t xml:space="preserve">.</t>
    </r>
  </si>
  <si>
    <t xml:space="preserve">HS_NEPTUNE_H03</t>
  </si>
  <si>
    <r>
      <rPr>
        <sz val="10"/>
        <rFont val="Noto Sans CJK SC"/>
        <family val="2"/>
      </rPr>
      <t xml:space="preserve">말과 생각에 상상력이 풍부하게 묻어나는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</si>
  <si>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이야기나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그림처럼 느낌을 전하는 표현에서 남다른 재능을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들은 말을 내 식으로 해석해 오해가 생기기도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약속이나 정보는 마지막에 한 번 더 확인하는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</si>
  <si>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HS_NEPTUNE_H04</t>
  </si>
  <si>
    <r>
      <rPr>
        <sz val="10"/>
        <rFont val="Noto Sans CJK SC"/>
        <family val="2"/>
      </rPr>
      <t xml:space="preserve">집과 마음의 뿌리에서 꿈과 위로를 찾는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</si>
  <si>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단순한 공간이라기보다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</si>
  <si>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HS_NEPTUNE_H05</t>
  </si>
  <si>
    <r>
      <rPr>
        <sz val="10"/>
        <rFont val="Noto Sans CJK SC"/>
        <family val="2"/>
      </rPr>
      <t xml:space="preserve">즐거움과 창작에서 꿈같은 상상력이 피어나는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</si>
  <si>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이야기처럼 감성을 건드리는 일에 깊이 빠져들고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사랑에도 낭만을 크게 기대하는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상상력이 작품이나 놀이로 흘러갈 때 가장 빛나요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커질수록 상대와 상황을 있는 그대로 바라보는 시간도 함께 가져 보세요</t>
    </r>
    <r>
      <rPr>
        <sz val="10"/>
        <rFont val="맑은 고딕"/>
        <family val="0"/>
        <charset val="1"/>
      </rPr>
      <t xml:space="preserve">.</t>
    </r>
  </si>
  <si>
    <t xml:space="preserve">HS_NEPTUNE_H06</t>
  </si>
  <si>
    <r>
      <rPr>
        <sz val="10"/>
        <rFont val="Noto Sans CJK SC"/>
        <family val="2"/>
      </rPr>
      <t xml:space="preserve">일과 쉼의 경계를 분명히 세울수록 편안해지는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</si>
  <si>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돕는 일이나 의미를 느끼는 일에는 아낌없이 마음을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일과 쉼의 경계가 흐려져 피로를 늦게 알아차리기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시작과 끝에 같은 작은 의식을 두면 리듬을 지키는 데 도움이 돼요</t>
    </r>
    <r>
      <rPr>
        <sz val="10"/>
        <rFont val="맑은 고딕"/>
        <family val="0"/>
        <charset val="1"/>
      </rPr>
      <t xml:space="preserve">.</t>
    </r>
  </si>
  <si>
    <t xml:space="preserve">HS_NEPTUNE_H07</t>
  </si>
  <si>
    <r>
      <rPr>
        <sz val="10"/>
        <rFont val="Noto Sans CJK SC"/>
        <family val="2"/>
      </rPr>
      <t xml:space="preserve">관계에서 깊은 공감과 이상을 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</si>
  <si>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상대의 마음을 잘 헤아리고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서로를 깊이 이해하는 연결을 바라는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공감이 너무 깊어지면 상대의 좋은 모습만 보거나 내 몫을 놓치기도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사이일수록 내가 원하는 것과 어려운 것을 말로 나눠 보세요</t>
    </r>
    <r>
      <rPr>
        <sz val="10"/>
        <rFont val="맑은 고딕"/>
        <family val="0"/>
        <charset val="1"/>
      </rPr>
      <t xml:space="preserve">.</t>
    </r>
  </si>
  <si>
    <t xml:space="preserve">HS_NEPTUNE_H08</t>
  </si>
  <si>
    <r>
      <rPr>
        <sz val="10"/>
        <rFont val="Noto Sans CJK SC"/>
        <family val="2"/>
      </rPr>
      <t xml:space="preserve">깊은 유대 속에서 마음의 경계를 살피면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</si>
  <si>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깊이 연결될 때 하나로 녹아드는 듯한 느낌을 소중히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함께 쓰는 돈이나 감정의 몫이 어디까지인지 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서로의 몫을 분명히 적어 두면 그 연결이 더 편안해져요</t>
    </r>
    <r>
      <rPr>
        <sz val="10"/>
        <rFont val="맑은 고딕"/>
        <family val="0"/>
        <charset val="1"/>
      </rPr>
      <t xml:space="preserve">.</t>
    </r>
  </si>
  <si>
    <t xml:space="preserve">HS_NEPTUNE_H09</t>
  </si>
  <si>
    <r>
      <rPr>
        <sz val="10"/>
        <rFont val="Noto Sans CJK SC"/>
        <family val="2"/>
      </rPr>
      <t xml:space="preserve">넓은 배움과 신념에서 영감을 찾는 이상가예요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</si>
  <si>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철학이나 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 나라의 이야기처럼 눈에 보이지 않는 세계에 끌리고 마음이 넓어지는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이상을 품는 힘이 삶에 깊은 의미를 더해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믿음이나 가르침에 끌릴 때는 직접 확인할 수 있는 근거도 함께 살펴보세요</t>
    </r>
    <r>
      <rPr>
        <sz val="10"/>
        <rFont val="맑은 고딕"/>
        <family val="0"/>
        <charset val="1"/>
      </rPr>
      <t xml:space="preserve">.</t>
    </r>
  </si>
  <si>
    <t xml:space="preserve">HS_NEPTUNE_H10</t>
  </si>
  <si>
    <r>
      <rPr>
        <sz val="10"/>
        <rFont val="Noto Sans CJK SC"/>
        <family val="2"/>
      </rPr>
      <t xml:space="preserve">일과 사회적 역할에서 꿈과 감성을 펼치는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</si>
  <si>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예술이나 돕는 일처럼 의미와 감성이 담긴 일에서 나다움을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원하는 방향이 흐릿해 진로를 오래 고민하거나 남의 기대에 맞추려 할 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막연할 때는 하고 싶은 일의 장면을 구체적으로 적고 그중 하나를 작게 시험해 보세요</t>
    </r>
    <r>
      <rPr>
        <sz val="10"/>
        <rFont val="맑은 고딕"/>
        <family val="0"/>
        <charset val="1"/>
      </rPr>
      <t xml:space="preserve">.</t>
    </r>
  </si>
  <si>
    <t xml:space="preserve">HS_NEPTUNE_H11</t>
  </si>
  <si>
    <r>
      <rPr>
        <sz val="10"/>
        <rFont val="Noto Sans CJK SC"/>
        <family val="2"/>
      </rPr>
      <t xml:space="preserve">사람들과 함께 따뜻한 꿈을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</si>
  <si>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공동체나 모임에서 모두가 함께 잘되는 미래를 꿈꾸고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남을 돕는 일에 마음이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쉽게 믿는 만큼 기대와 다른 모습에 실망하는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함께할 때는 각자의 역할과 약속을 미리 분명하게 정해 두세요</t>
    </r>
    <r>
      <rPr>
        <sz val="10"/>
        <rFont val="맑은 고딕"/>
        <family val="0"/>
        <charset val="1"/>
      </rPr>
      <t xml:space="preserve">.</t>
    </r>
  </si>
  <si>
    <t xml:space="preserve">HS_NEPTUNE_H12</t>
  </si>
  <si>
    <r>
      <rPr>
        <sz val="10"/>
        <rFont val="Noto Sans CJK SC"/>
        <family val="2"/>
      </rPr>
      <t xml:space="preserve">쉼과 내면에서 깊은 영감과 위로를 얻는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</si>
  <si>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조용히 음악을 듣거나 상상에 잠길 때 마음이 가장 잘 회복되는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흡수해 이유 없이 지치는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많이 만난 날에는 혼자 머무는 시간을 일부러 챙겨 마음을 비워 보세요</t>
    </r>
    <r>
      <rPr>
        <sz val="10"/>
        <rFont val="맑은 고딕"/>
        <family val="0"/>
        <charset val="1"/>
      </rPr>
      <t xml:space="preserve">.</t>
    </r>
  </si>
  <si>
    <t xml:space="preserve">HS_PLUTO_H01</t>
  </si>
  <si>
    <r>
      <rPr>
        <sz val="10"/>
        <rFont val="Noto Sans CJK SC"/>
        <family val="2"/>
      </rPr>
      <t xml:space="preserve">겉은 조용해도 깊은 존재감과 힘을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</si>
  <si>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말수가 많지 않아도 강한 인상을 남기고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속을 보이지 않는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고비마다 나를 새로 세우는 회복력이 이 자리의 큰 힘이에요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혼자 버티고 있다면 믿을 만한 사람에게 지금의 마음을 조금 털어놓아 보세요</t>
    </r>
    <r>
      <rPr>
        <sz val="10"/>
        <rFont val="맑은 고딕"/>
        <family val="0"/>
        <charset val="1"/>
      </rPr>
      <t xml:space="preserve">.</t>
    </r>
  </si>
  <si>
    <t xml:space="preserve">HS_PLUTO_H02</t>
  </si>
  <si>
    <r>
      <rPr>
        <sz val="10"/>
        <rFont val="Noto Sans CJK SC"/>
        <family val="2"/>
      </rPr>
      <t xml:space="preserve">내 것과 자기가치를 깊이 다시 세우는 힘이 있는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</si>
  <si>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가진 것에 대한 감정이 강해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지키려는 마음과 바꾸려는 마음 사이에서 크게 흔들리기도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과정을 지나며 내가 정말 가치 있게 여기는 것을 스스로 정하는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조급해질 때는 지금 가진 것과 할 수 있는 것을 차분히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</si>
  <si>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득실 예측 없이 가치 기준을 다시 세우는 쪽으로만 썼음</t>
    </r>
    <r>
      <rPr>
        <sz val="10"/>
        <rFont val="맑은 고딕"/>
        <family val="0"/>
        <charset val="1"/>
      </rPr>
      <t xml:space="preserve">.</t>
    </r>
  </si>
  <si>
    <t xml:space="preserve">HS_PLUTO_H03</t>
  </si>
  <si>
    <r>
      <rPr>
        <sz val="10"/>
        <rFont val="Noto Sans CJK SC"/>
        <family val="2"/>
      </rPr>
      <t xml:space="preserve">말과 생각을 깊이 파고드는 집중력이 있는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</si>
  <si>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끝까지 파고들고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 한마디에도 무게를 실어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깊이가 사람의 속마음을 꿰뚫는 통찰로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대화가 날카로워진다고 느낄 때는 결론보다 질문으로 먼저 말을 꺼내 보세요</t>
    </r>
    <r>
      <rPr>
        <sz val="10"/>
        <rFont val="맑은 고딕"/>
        <family val="0"/>
        <charset val="1"/>
      </rPr>
      <t xml:space="preserve">.</t>
    </r>
  </si>
  <si>
    <t xml:space="preserve">HS_PLUTO_H04</t>
  </si>
  <si>
    <r>
      <rPr>
        <sz val="10"/>
        <rFont val="Noto Sans CJK SC"/>
        <family val="2"/>
      </rPr>
      <t xml:space="preserve">마음의 뿌리에서 깊이 되살아나는 힘을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</si>
  <si>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가족을 향한 감정이 깊고 진해서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바탕을 진지하게 들여다볼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뿌리를 살피는 과정에서 스스로 다시 일어서는 힘이 자라납니다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날에는 나만의 쉼터가 될 공간을 작게라도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</si>
  <si>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명왕성 — 가족 갈등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상처 추측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감정의 깊이 → 회복력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썼음</t>
    </r>
    <r>
      <rPr>
        <sz val="10"/>
        <rFont val="맑은 고딕"/>
        <family val="0"/>
        <charset val="1"/>
      </rPr>
      <t xml:space="preserve">.</t>
    </r>
  </si>
  <si>
    <t xml:space="preserve">HS_PLUTO_H05</t>
  </si>
  <si>
    <r>
      <rPr>
        <sz val="10"/>
        <rFont val="Noto Sans CJK SC"/>
        <family val="2"/>
      </rPr>
      <t xml:space="preserve">좋아하는 것에 온 마음을 쏟는 강렬함이 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</si>
  <si>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취미든 창작이든 사랑이든 한 번 빠지면 깊고 진하게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몰입이 평범한 재미를 넘어 나를 바꾸는 작품이나 경험으로 남기도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한쪽으로 너무 쏠릴 때는 가볍게 즐길 수 있는 놀이 하나를 곁에 두어 보세요</t>
    </r>
    <r>
      <rPr>
        <sz val="10"/>
        <rFont val="맑은 고딕"/>
        <family val="0"/>
        <charset val="1"/>
      </rPr>
      <t xml:space="preserve">.</t>
    </r>
  </si>
  <si>
    <t xml:space="preserve">HS_PLUTO_H06</t>
  </si>
  <si>
    <r>
      <rPr>
        <sz val="10"/>
        <rFont val="Noto Sans CJK SC"/>
        <family val="2"/>
      </rPr>
      <t xml:space="preserve">일상과 루틴을 깊이 바꿔 가며 힘을 되찾는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</si>
  <si>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바꿔 가면 되찾은 힘이 오래 유지됩니다</t>
    </r>
    <r>
      <rPr>
        <sz val="10"/>
        <rFont val="맑은 고딕"/>
        <family val="0"/>
        <charset val="1"/>
      </rPr>
      <t xml:space="preserve">.</t>
    </r>
  </si>
  <si>
    <t xml:space="preserve">HS_PLUTO_H07</t>
  </si>
  <si>
    <r>
      <rPr>
        <sz val="10"/>
        <rFont val="Noto Sans CJK SC"/>
        <family val="2"/>
      </rPr>
      <t xml:space="preserve">관계를 통해 깊이 변화하고 성장하는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</si>
  <si>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진심을 다해 깊이 연결되기를 바라고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큰 영향을 주고받는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강렬함 덕분에 관계를 지나며 나를 새롭게 알아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주도권을 두고 마음이 팽팽해질 때는 서로 바라는 것을 차분히 말로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</si>
  <si>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명왕성 — 집착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파국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통한 성장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</si>
  <si>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HS_PLUTO_H08</t>
  </si>
  <si>
    <r>
      <rPr>
        <sz val="10"/>
        <rFont val="Noto Sans CJK SC"/>
        <family val="2"/>
      </rPr>
      <t xml:space="preserve">깊은 유대와 변화 속에서 되살아나는 힘이 큰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</si>
  <si>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관계나 함께 나누는 자원에서 진한 감정을 겪으며 나를 근본부터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변화를 지날 때마다 껍질을 벗듯 단단해지는 회복력이 이 자리의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무겁게 고일 때는 믿는 사람이나 기록에 마음을 조금씩 흘려보내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</si>
  <si>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명왕성 — 상실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죽음 연상 표현 피하고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 후 단단해짐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</si>
  <si>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HS_PLUTO_H09</t>
  </si>
  <si>
    <r>
      <rPr>
        <sz val="10"/>
        <rFont val="Noto Sans CJK SC"/>
        <family val="2"/>
      </rPr>
      <t xml:space="preserve">신념과 배움을 깊이 파고들어 삶을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</si>
  <si>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진실이 무엇인지 끝까지 알고 싶어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번 품은 생각에 깊이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배움이나 여행이 세상을 보는 눈을 통째로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믿음이 강해질수록 다른 생각을 가진 사람의 이야기에도 귀를 기울여 보세요</t>
    </r>
    <r>
      <rPr>
        <sz val="10"/>
        <rFont val="맑은 고딕"/>
        <family val="0"/>
        <charset val="1"/>
      </rPr>
      <t xml:space="preserve">.</t>
    </r>
  </si>
  <si>
    <t xml:space="preserve">HS_PLUTO_H10</t>
  </si>
  <si>
    <r>
      <rPr>
        <sz val="10"/>
        <rFont val="Noto Sans CJK SC"/>
        <family val="2"/>
      </rPr>
      <t xml:space="preserve">일과 사회적 역할에서 깊은 영향력을 키워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</si>
  <si>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큰 책임과 영향력을 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목표를 정하면 깊이 집중해 밀고 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크게 바뀌는 시기를 지나며 오히려 나다운 역할을 다시 찾기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삶 전체를 차지한다고 느낄 때는 일 밖의 나를 채우는 시간을 따로 지켜 주세요</t>
    </r>
    <r>
      <rPr>
        <sz val="10"/>
        <rFont val="맑은 고딕"/>
        <family val="0"/>
        <charset val="1"/>
      </rPr>
      <t xml:space="preserve">.</t>
    </r>
  </si>
  <si>
    <t xml:space="preserve">HS_PLUTO_H11</t>
  </si>
  <si>
    <r>
      <rPr>
        <sz val="10"/>
        <rFont val="Noto Sans CJK SC"/>
        <family val="2"/>
      </rPr>
      <t xml:space="preserve">사람들과 함께할 때 깊은 변화를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</si>
  <si>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모임이나 공동체에서 넓고 얕은 관계보다 진짜로 통하는 몇 사람과 깊게 연결되는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같이 그리는 목표가 나와 주변을 바꾸는 힘으로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 마음을 너무 많이 쏟아 지칠 때는 내가 바라는 미래를 혼자 정리해 보세요</t>
    </r>
    <r>
      <rPr>
        <sz val="10"/>
        <rFont val="맑은 고딕"/>
        <family val="0"/>
        <charset val="1"/>
      </rPr>
      <t xml:space="preserve">.</t>
    </r>
  </si>
  <si>
    <t xml:space="preserve">HS_PLUTO_H12</t>
  </si>
  <si>
    <r>
      <rPr>
        <sz val="10"/>
        <rFont val="Noto Sans CJK SC"/>
        <family val="2"/>
      </rPr>
      <t xml:space="preserve">보이지 않는 내면에 깊은 회복력이 깃든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</si>
  <si>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깊은 감정이나 오래된 생각이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조용히 마주하는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내면을 정리하며 스스로를 다시 일으키는 힘이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무겁게 가라앉을 때는 산책이나 기록처럼 감정을 밖으로 흘려보낼 길을 만들어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</si>
  <si>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A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</si>
  <si>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B</t>
    </r>
  </si>
  <si>
    <t xml:space="preserve">제목</t>
  </si>
  <si>
    <t xml:space="preserve">선 탭 한 줄</t>
  </si>
  <si>
    <t xml:space="preserve">ASP_SUN_MOON_CONJ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</si>
  <si>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</si>
  <si>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r>
      <rPr>
        <sz val="10"/>
        <rFont val="Noto Sans CJK SC"/>
        <family val="2"/>
      </rPr>
      <t xml:space="preserve">나의 중심과 감정이 한 방향으로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</si>
  <si>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것과 느끼는 것이 같은 쪽을 향해 있어 마음먹은 일에 힘이 잘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한쪽으로 쏠리기 쉬우니 가끔 다른 관점을 들어 보면 균형을 잡기 좋아요</t>
    </r>
    <r>
      <rPr>
        <sz val="10"/>
        <rFont val="맑은 고딕"/>
        <family val="0"/>
        <charset val="1"/>
      </rPr>
      <t xml:space="preserve">.</t>
    </r>
  </si>
  <si>
    <t xml:space="preserve">ASP_SUN_MOON_HARM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</si>
  <si>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</si>
  <si>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r>
      <rPr>
        <sz val="10"/>
        <rFont val="Noto Sans CJK SC"/>
        <family val="2"/>
      </rPr>
      <t xml:space="preserve">나의 중심과 감정이 서로를 자연스럽게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</si>
  <si>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일과 마음의 상태가 크게 어긋나지 않아 비교적 편안하게 나를 받아들일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안정감을 바탕 삼아 새로운 도전을 하나씩 늘려 가기 좋습니다</t>
    </r>
    <r>
      <rPr>
        <sz val="10"/>
        <rFont val="맑은 고딕"/>
        <family val="0"/>
        <charset val="1"/>
      </rPr>
      <t xml:space="preserve">.</t>
    </r>
  </si>
  <si>
    <t xml:space="preserve">ASP_SUN_MOON_TENSE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</si>
  <si>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</si>
  <si>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r>
      <rPr>
        <sz val="10"/>
        <rFont val="Noto Sans CJK SC"/>
        <family val="2"/>
      </rPr>
      <t xml:space="preserve">나의 중심과 감정이 서로 다른 쪽을 바라봐요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</si>
  <si>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 원하는 것과 마음이 편한 것이 달라 속으로 줄다리기를 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마음을 모두 적어 보고 둘 다 조금씩 채우는 방법을 찾으면 그 긴장이 나를 넓히는 힘이 돼요</t>
    </r>
    <r>
      <rPr>
        <sz val="10"/>
        <rFont val="맑은 고딕"/>
        <family val="0"/>
        <charset val="1"/>
      </rPr>
      <t xml:space="preserve">.</t>
    </r>
  </si>
  <si>
    <t xml:space="preserve">ASP_SUN_MERCURY_CONJ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</si>
  <si>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</si>
  <si>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나의 중심과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</si>
  <si>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말에 내 색깔이 또렷하게 묻어나서 의견을 분명히 전하는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말에 확신이 강할 때일수록 상대의 생각을 한 번 더 물어보면 대화가 부드러워져요</t>
    </r>
    <r>
      <rPr>
        <sz val="10"/>
        <rFont val="맑은 고딕"/>
        <family val="0"/>
        <charset val="1"/>
      </rPr>
      <t xml:space="preserve">.</t>
    </r>
  </si>
  <si>
    <t xml:space="preserve">ASP_SUN_MERCURY_HARM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</si>
  <si>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</si>
  <si>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태양과 수성은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</si>
  <si>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늘 태양 가까이에 머물러서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</si>
  <si>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천문학적으로 발생 불가 — 엔진에서 나오지 않음</t>
  </si>
  <si>
    <t xml:space="preserve">ASP_SUN_MERCURY_TENSE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</si>
  <si>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</si>
  <si>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ASP_SUN_VENUS_CONJ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</si>
  <si>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</si>
  <si>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나의 중심과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</si>
  <si>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아름다움에 대한 감각이 나다움의 큰 부분을 차지합니다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사람들에게 맞춰 주는 마음이 커질 때는 내가 정말 좋아하는 것도 함께 챙겨 보세요</t>
    </r>
    <r>
      <rPr>
        <sz val="10"/>
        <rFont val="맑은 고딕"/>
        <family val="0"/>
        <charset val="1"/>
      </rPr>
      <t xml:space="preserve">.</t>
    </r>
  </si>
  <si>
    <t xml:space="preserve">ASP_SUN_VENUS_HARM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</si>
  <si>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</si>
  <si>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태양과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</si>
  <si>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태양에서 멀리 떨어지지 않아서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</si>
  <si>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ASP_SUN_VENUS_TENSE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</si>
  <si>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</si>
  <si>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ASP_SUN_MARS_CONJ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</si>
  <si>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</si>
  <si>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나의 중심과 의욕이 겹쳐 추진력이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</si>
  <si>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바로 움직이는 힘이 있어 무언가를 시작하는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에너지가 넘칠 때는 운동이나 몸을 쓰는 일로 풀어 주면 조급함이 덜해져요</t>
    </r>
    <r>
      <rPr>
        <sz val="10"/>
        <rFont val="맑은 고딕"/>
        <family val="0"/>
        <charset val="1"/>
      </rPr>
      <t xml:space="preserve">.</t>
    </r>
  </si>
  <si>
    <t xml:space="preserve">ASP_SUN_MARS_HARM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</si>
  <si>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</si>
  <si>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나의 중심과 의욕이 자연스럽게 손발을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</si>
  <si>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행동으로 옮기는 과정이 비교적 매끄러워요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실행력을 오래 하고 싶은 일 하나에 꾸준히 쏟으면 눈에 보이는 결과로 쌓이기 좋습니다</t>
    </r>
    <r>
      <rPr>
        <sz val="10"/>
        <rFont val="맑은 고딕"/>
        <family val="0"/>
        <charset val="1"/>
      </rPr>
      <t xml:space="preserve">.</t>
    </r>
  </si>
  <si>
    <t xml:space="preserve">ASP_SUN_MARS_TENSE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</si>
  <si>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</si>
  <si>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나의 중심과 의욕이 부딪치며 불꽃을 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</si>
  <si>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마음이 앞서 조급해지거나 쉽게 날이 서는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움직이기 전에 숨을 한 번 고르는 습관을 들이면 그 뜨거운 힘을 원하는 곳에 쓸 수 있어요</t>
    </r>
    <r>
      <rPr>
        <sz val="10"/>
        <rFont val="맑은 고딕"/>
        <family val="0"/>
        <charset val="1"/>
      </rPr>
      <t xml:space="preserve">.</t>
    </r>
  </si>
  <si>
    <t xml:space="preserve">ASP_SUN_JUPITER_CONJ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</si>
  <si>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</si>
  <si>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나의 중심과 확장의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</si>
  <si>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낙관적이고 더 큰 가능성을 보려는 마음이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 많아질 때는 우선순위를 정해 두면 그 넉넉한 기운이 흩어지지 않아요</t>
    </r>
    <r>
      <rPr>
        <sz val="10"/>
        <rFont val="맑은 고딕"/>
        <family val="0"/>
        <charset val="1"/>
      </rPr>
      <t xml:space="preserve">.</t>
    </r>
  </si>
  <si>
    <t xml:space="preserve">ASP_SUN_JUPITER_HARM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</si>
  <si>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</si>
  <si>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나의 중심을 넉넉하게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</si>
  <si>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기회 앞에서 비교적 열린 마음으로 다가갈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도움을 주고받는 데 부담을 덜 느끼는 편이라 사람들과 함께하는 배움에서 힘을 얻기 좋습니다</t>
    </r>
    <r>
      <rPr>
        <sz val="10"/>
        <rFont val="맑은 고딕"/>
        <family val="0"/>
        <charset val="1"/>
      </rPr>
      <t xml:space="preserve">.</t>
    </r>
  </si>
  <si>
    <t xml:space="preserve">ASP_SUN_JUPITER_TENSE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</si>
  <si>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</si>
  <si>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나의 중심과 확장의 별이 서로를 더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</si>
  <si>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기대가 커지거나 한 번에 너무 많은 것을 맡으려는 마음이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작게 나눠 하나씩 확인하면 큰 꿈이 현실적인 걸음으로 바뀌어요</t>
    </r>
    <r>
      <rPr>
        <sz val="10"/>
        <rFont val="맑은 고딕"/>
        <family val="0"/>
        <charset val="1"/>
      </rPr>
      <t xml:space="preserve">.</t>
    </r>
  </si>
  <si>
    <t xml:space="preserve">ASP_SUN_SATURN_CONJ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</si>
  <si>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</si>
  <si>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나의 중심과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</si>
  <si>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기준이 높고 맡은 일을 끝까지 해내려는 성실함이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무겁게 느껴질 때는 오늘 해낸 것을 적어 보며 나에게도 인정을 건네 보세요</t>
    </r>
    <r>
      <rPr>
        <sz val="10"/>
        <rFont val="맑은 고딕"/>
        <family val="0"/>
        <charset val="1"/>
      </rPr>
      <t xml:space="preserve">.</t>
    </r>
  </si>
  <si>
    <t xml:space="preserve">ASP_SUN_SATURN_HARM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</si>
  <si>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</si>
  <si>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나의 중심을 단단하게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</si>
  <si>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시간을 들여 차근차근 쌓아 가는 일에서 안정감을 얻는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강점이니 긴 호흡의 계획을 세워 두면 그 힘이 더 또렷하게 드러납니다</t>
    </r>
    <r>
      <rPr>
        <sz val="10"/>
        <rFont val="맑은 고딕"/>
        <family val="0"/>
        <charset val="1"/>
      </rPr>
      <t xml:space="preserve">.</t>
    </r>
  </si>
  <si>
    <t xml:space="preserve">ASP_SUN_SATURN_TENSE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</si>
  <si>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</si>
  <si>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나의 중심과 책임의 별이 서로를 시험해요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</si>
  <si>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것보다 해야 할 것이 먼저 떠올라 스스로를 다그치기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기준을 조금 낮춰 작은 완성을 자주 경험하면 이 긴장이 나를 단단하게 만드는 바탕이 돼요</t>
    </r>
    <r>
      <rPr>
        <sz val="10"/>
        <rFont val="맑은 고딕"/>
        <family val="0"/>
        <charset val="1"/>
      </rPr>
      <t xml:space="preserve">.</t>
    </r>
  </si>
  <si>
    <t xml:space="preserve">ASP_MOON_MERCURY_CONJ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</si>
  <si>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</si>
  <si>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감정과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</si>
  <si>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느낀 것을 바로 말로 옮기는 편이라 감정 표현이 솔직하고 생생합니다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출렁일 때는 바로 말하기보다 글로 먼저 적어 보면 생각이 차분하게 정리돼요</t>
    </r>
    <r>
      <rPr>
        <sz val="10"/>
        <rFont val="맑은 고딕"/>
        <family val="0"/>
        <charset val="1"/>
      </rPr>
      <t xml:space="preserve">.</t>
    </r>
  </si>
  <si>
    <t xml:space="preserve">ASP_MOON_MERCURY_HARM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</si>
  <si>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</si>
  <si>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감정과 생각이 서로 잘 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</si>
  <si>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기분을 알아차리고 말로 풀어내는 일이 비교적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감각을 살려 가까운 사람과 마음을 나누는 대화를 자주 하면 관계가 한결 편해집니다</t>
    </r>
    <r>
      <rPr>
        <sz val="10"/>
        <rFont val="맑은 고딕"/>
        <family val="0"/>
        <charset val="1"/>
      </rPr>
      <t xml:space="preserve">.</t>
    </r>
  </si>
  <si>
    <t xml:space="preserve">ASP_MOON_MERCURY_TENSE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</si>
  <si>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</si>
  <si>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감정과 생각이 서로 다른 말을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</si>
  <si>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머리로는 괜찮다고 하는데 마음은 그렇지 않은 순간이 잦을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생각과 감정을 따로 적어 보면 둘이 각각 무엇을 원하는지 알아보기 쉬워요</t>
    </r>
    <r>
      <rPr>
        <sz val="10"/>
        <rFont val="맑은 고딕"/>
        <family val="0"/>
        <charset val="1"/>
      </rPr>
      <t xml:space="preserve">.</t>
    </r>
  </si>
  <si>
    <t xml:space="preserve">ASP_MOON_VENUS_CONJ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</si>
  <si>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</si>
  <si>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감정과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</si>
  <si>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다정하고 따뜻한 분위기에서 마음이 가장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챙기다 내 마음이 지칠 때는 좋아하는 것으로 나를 먼저 채워 주세요</t>
    </r>
    <r>
      <rPr>
        <sz val="10"/>
        <rFont val="맑은 고딕"/>
        <family val="0"/>
        <charset val="1"/>
      </rPr>
      <t xml:space="preserve">.</t>
    </r>
  </si>
  <si>
    <t xml:space="preserve">ASP_MOON_VENUS_HARM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</si>
  <si>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</si>
  <si>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감정과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</si>
  <si>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마음을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</si>
  <si>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ASP_MOON_VENUS_TENSE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</si>
  <si>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</si>
  <si>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감정이 바라는 것과 끌리는 것이 엇갈려요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</si>
  <si>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스스로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</si>
  <si>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ASP_MOON_MARS_CONJ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</si>
  <si>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</si>
  <si>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감정과 의욕이 겹쳐 뜨겁게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</si>
  <si>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느끼는 순간 바로 행동으로 이어지는 솔직함과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확 올라올 때는 몸을 움직여 먼저 풀어 주면 말이 날카로워지는 일을 줄일 수 있어요</t>
    </r>
    <r>
      <rPr>
        <sz val="10"/>
        <rFont val="맑은 고딕"/>
        <family val="0"/>
        <charset val="1"/>
      </rPr>
      <t xml:space="preserve">.</t>
    </r>
  </si>
  <si>
    <t xml:space="preserve">ASP_MOON_MARS_HARM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</si>
  <si>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</si>
  <si>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감정과 의욕이 자연스럽게 힘을 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</si>
  <si>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가는 일에는 망설임 없이 움직일 수 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마음이 드는 일을 미루지 않고 작게라도 시작하면 이 힘이 잘 쓰입니다</t>
    </r>
    <r>
      <rPr>
        <sz val="10"/>
        <rFont val="맑은 고딕"/>
        <family val="0"/>
        <charset val="1"/>
      </rPr>
      <t xml:space="preserve">.</t>
    </r>
  </si>
  <si>
    <t xml:space="preserve">ASP_MOON_MARS_TENSE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</si>
  <si>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</si>
  <si>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감정과 의욕이 부딪치며 마음이 달아올라요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</si>
  <si>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서운함이나 답답함이 빠르게 화로 바뀌는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올라올 때 잠시 자리를 옮기거나 걷는 시간을 가지면 그 에너지를 나를 지키는 힘으로 쓸 수 있어요</t>
    </r>
    <r>
      <rPr>
        <sz val="10"/>
        <rFont val="맑은 고딕"/>
        <family val="0"/>
        <charset val="1"/>
      </rPr>
      <t xml:space="preserve">.</t>
    </r>
  </si>
  <si>
    <t xml:space="preserve">ASP_MOON_JUPITER_CONJ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</si>
  <si>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</si>
  <si>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감정과 확장의 별이 겹쳐 마음 그릇이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</si>
  <si>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너그럽고 사람들에게 따뜻함을 잘 나누는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폭도 큰 만큼 지칠 때는 혼자 쉬는 시간을 충분히 챙겨 주세요</t>
    </r>
    <r>
      <rPr>
        <sz val="10"/>
        <rFont val="맑은 고딕"/>
        <family val="0"/>
        <charset val="1"/>
      </rPr>
      <t xml:space="preserve">.</t>
    </r>
  </si>
  <si>
    <t xml:space="preserve">ASP_MOON_JUPITER_HARM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</si>
  <si>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</si>
  <si>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감정을 너그럽게 감싸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</si>
  <si>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</si>
  <si>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t xml:space="preserve">ASP_MOON_JUPITER_TENSE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</si>
  <si>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</si>
  <si>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감정과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</si>
  <si>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좋을 때도 아쉬울 때도 감정이 실제보다 크게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들뜨거나 가라앉을 때 하루쯤 지나고 다시 살펴보면 균형을 찾기 쉬워요</t>
    </r>
    <r>
      <rPr>
        <sz val="10"/>
        <rFont val="맑은 고딕"/>
        <family val="0"/>
        <charset val="1"/>
      </rPr>
      <t xml:space="preserve">.</t>
    </r>
  </si>
  <si>
    <t xml:space="preserve">ASP_MOON_SATURN_CONJ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</si>
  <si>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</si>
  <si>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감정과 책임의 별이 겹쳐 마음이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</si>
  <si>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쉽게 드러내기보다 안으로 정리하는 신중함이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견디는 데 익숙하다면 믿을 만한 한 사람에게 조금씩 마음을 나눠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</si>
  <si>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ASP_MOON_SATURN_HARM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</si>
  <si>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</si>
  <si>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감정을 차분하게 붙잡아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</si>
  <si>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비교적 빨리 중심을 되찾는 안정감이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규칙적인 생활 리듬이 마음을 지켜 주는 편이니 나만의 루틴을 꾸준히 이어 가면 좋습니다</t>
    </r>
    <r>
      <rPr>
        <sz val="10"/>
        <rFont val="맑은 고딕"/>
        <family val="0"/>
        <charset val="1"/>
      </rPr>
      <t xml:space="preserve">.</t>
    </r>
  </si>
  <si>
    <t xml:space="preserve">ASP_MOON_SATURN_TENSE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</si>
  <si>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</si>
  <si>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감정과 책임의 별이 서로를 무겁게 눌러요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</si>
  <si>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놓고 기대기 어렵거나 감정을 드러내면 부담이 될까 걱정하기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해 보며 기대도 괜찮다는 경험을 쌓으면 마음이 조금씩 가벼워져요</t>
    </r>
    <r>
      <rPr>
        <sz val="10"/>
        <rFont val="맑은 고딕"/>
        <family val="0"/>
        <charset val="1"/>
      </rPr>
      <t xml:space="preserve">.</t>
    </r>
  </si>
  <si>
    <t xml:space="preserve">ASP_MERCURY_VENUS_CONJ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</si>
  <si>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</si>
  <si>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</si>
  <si>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말씨가 부드럽고 상대가 듣기 좋게 표현하는 감각이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말만 고르다 속마음을 놓치지 않도록 가끔은 솔직한 생각도 함께 꺼내 보세요</t>
    </r>
    <r>
      <rPr>
        <sz val="10"/>
        <rFont val="맑은 고딕"/>
        <family val="0"/>
        <charset val="1"/>
      </rPr>
      <t xml:space="preserve">.</t>
    </r>
  </si>
  <si>
    <t xml:space="preserve">ASP_MERCURY_VENUS_HARM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</si>
  <si>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</si>
  <si>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생각과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</si>
  <si>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것을 알아보고 그것을 말이나 글로 표현하는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글쓰기나 디자인처럼 감각을 드러내는 취미를 가지면 이 장점이 더 빛납니다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</si>
  <si>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천문학적으로 삼분은 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육분만 발생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이격 약 </t>
    </r>
    <r>
      <rPr>
        <sz val="10"/>
        <rFont val="맑은 고딕"/>
        <family val="0"/>
        <charset val="1"/>
      </rPr>
      <t xml:space="preserve">76°)</t>
    </r>
  </si>
  <si>
    <t xml:space="preserve">ASP_MERCURY_VENUS_TENSE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</si>
  <si>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</si>
  <si>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수성과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</si>
  <si>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행성 모두 태양 곁을 크게 벗어나지 않아서 서로 긴장하는 각도는 생기지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출생차트에 나타나지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</si>
  <si>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ASP_MERCURY_MARS_CONJ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</si>
  <si>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</si>
  <si>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의욕이 겹쳐 말에 힘이 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</si>
  <si>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빠르고 말에 추진력이 있어 의견을 분명하게 밀고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앞서 나갈 때는 한 박자 쉬고 상대의 반응을 살피면 설득력이 더 커져요</t>
    </r>
    <r>
      <rPr>
        <sz val="10"/>
        <rFont val="맑은 고딕"/>
        <family val="0"/>
        <charset val="1"/>
      </rPr>
      <t xml:space="preserve">.</t>
    </r>
  </si>
  <si>
    <t xml:space="preserve">ASP_MERCURY_MARS_HARM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</si>
  <si>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</si>
  <si>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생각과 행동이 손발을 잘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</si>
  <si>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아이디어를 바로 실행으로 옮기는 순발력이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회의나 토론처럼 생각을 빠르게 정리해야 하는 자리에서 이 힘을 잘 쓸 수 있습니다</t>
    </r>
    <r>
      <rPr>
        <sz val="10"/>
        <rFont val="맑은 고딕"/>
        <family val="0"/>
        <charset val="1"/>
      </rPr>
      <t xml:space="preserve">.</t>
    </r>
  </si>
  <si>
    <t xml:space="preserve">ASP_MERCURY_MARS_TENSE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</si>
  <si>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</si>
  <si>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생각과 의욕이 부딪쳐 말이 날카로워지기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</si>
  <si>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 말이 빨라지고 표현이 세지는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대화일수록 하고 싶은 말을 먼저 적어 보면 날카로움은 줄고 핵심은 또렷해져요</t>
    </r>
    <r>
      <rPr>
        <sz val="10"/>
        <rFont val="맑은 고딕"/>
        <family val="0"/>
        <charset val="1"/>
      </rPr>
      <t xml:space="preserve">.</t>
    </r>
  </si>
  <si>
    <t xml:space="preserve">ASP_MERCURY_JUPITER_CONJ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</si>
  <si>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</si>
  <si>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확장의 별이 겹쳐 시야가 넓어요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</si>
  <si>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그림을 보는 시선과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</si>
  <si>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t xml:space="preserve">ASP_MERCURY_JUPITER_HARM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</si>
  <si>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</si>
  <si>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생각을 넓게 열어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</si>
  <si>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지식을 받아들이고 여러 분야를 연결하는 능력이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가는 주제를 깊이 배우거나 누군가에게 가르쳐 보면 이 재능이 더 넓게 쓰입니다</t>
    </r>
    <r>
      <rPr>
        <sz val="10"/>
        <rFont val="맑은 고딕"/>
        <family val="0"/>
        <charset val="1"/>
      </rPr>
      <t xml:space="preserve">.</t>
    </r>
  </si>
  <si>
    <t xml:space="preserve">ASP_MERCURY_JUPITER_TENSE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</si>
  <si>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</si>
  <si>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생각과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</si>
  <si>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가능성을 크게 보다 보니 세부 사항을 놓치거나 약속을 많이 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생각은 살리되 확인할 목록을 함께 만들어 두면 믿음직한 실행력으로 이어져요</t>
    </r>
    <r>
      <rPr>
        <sz val="10"/>
        <rFont val="맑은 고딕"/>
        <family val="0"/>
        <charset val="1"/>
      </rPr>
      <t xml:space="preserve">.</t>
    </r>
  </si>
  <si>
    <t xml:space="preserve">ASP_MERCURY_SATURN_CONJ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</si>
  <si>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</si>
  <si>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책임의 별이 겹쳐 말이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</si>
  <si>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 더 생각하고 말하는 신중함과 깊이 있는 사고력이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완벽하게 정리될 때까지 말을 아끼는 편이라면 초안부터 꺼내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</si>
  <si>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ASP_MERCURY_SATURN_HARM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</si>
  <si>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</si>
  <si>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생각을 단단하게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</si>
  <si>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꼼꼼하고 체계적으로 생각하는 힘이 있어 복잡한 일도 차근차근 풀어내요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걸리더라도 깊이 파고드는 공부나 일에서 이 강점이 가장 잘 드러납니다</t>
    </r>
    <r>
      <rPr>
        <sz val="10"/>
        <rFont val="맑은 고딕"/>
        <family val="0"/>
        <charset val="1"/>
      </rPr>
      <t xml:space="preserve">.</t>
    </r>
  </si>
  <si>
    <t xml:space="preserve">ASP_MERCURY_SATURN_TENSE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</si>
  <si>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</si>
  <si>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생각과 책임의 별이 서로를 다그쳐요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</si>
  <si>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틀릴까 걱정하거나 내 생각을 지나치게 검열하기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의견부터 자주 말해 보며 괜찮았던 경험을 쌓으면 신중함이 믿음직한 장점으로 바뀌어요</t>
    </r>
    <r>
      <rPr>
        <sz val="10"/>
        <rFont val="맑은 고딕"/>
        <family val="0"/>
        <charset val="1"/>
      </rPr>
      <t xml:space="preserve">.</t>
    </r>
  </si>
  <si>
    <t xml:space="preserve">ASP_VENUS_MARS_CONJ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</si>
  <si>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</si>
  <si>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좋아하는 것과 의욕이 겹쳐 열정이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</si>
  <si>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향해 망설임 없이 다가가는 매력과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끌림이 강할 때는 상대의 속도도 함께 살피면 관계가 더 편안하게 이어져요</t>
    </r>
    <r>
      <rPr>
        <sz val="10"/>
        <rFont val="맑은 고딕"/>
        <family val="0"/>
        <charset val="1"/>
      </rPr>
      <t xml:space="preserve">.</t>
    </r>
  </si>
  <si>
    <t xml:space="preserve">ASP_VENUS_MARS_HARM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</si>
  <si>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</si>
  <si>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좋아하는 것과 의욕이 자연스럽게 어울려요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</si>
  <si>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부드럽게 표현하면서도 필요할 때는 먼저 다가갈 줄 알아요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균형 감각을 살려 좋아하는 일에 꾸준히 시간을 쓰면 즐거움과 성취를 함께 얻기 좋습니다</t>
    </r>
    <r>
      <rPr>
        <sz val="10"/>
        <rFont val="맑은 고딕"/>
        <family val="0"/>
        <charset val="1"/>
      </rPr>
      <t xml:space="preserve">.</t>
    </r>
  </si>
  <si>
    <t xml:space="preserve">ASP_VENUS_MARS_TENSE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</si>
  <si>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</si>
  <si>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좋아하는 것과 의욕이 서로 밀고 당겨요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</si>
  <si>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다가가고 싶은 마음과 조화를 지키고 싶은 마음이 엇갈려 관계에서 밀고 당기기가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것을 부드럽지만 분명하게 말해 보면 그 긴장이 서로를 이해하는 계기가 돼요</t>
    </r>
    <r>
      <rPr>
        <sz val="10"/>
        <rFont val="맑은 고딕"/>
        <family val="0"/>
        <charset val="1"/>
      </rPr>
      <t xml:space="preserve">.</t>
    </r>
  </si>
  <si>
    <t xml:space="preserve">ASP_VENUS_JUPITER_CONJ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</si>
  <si>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</si>
  <si>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좋아하는 것과 확장의 별이 겹쳐 마음이 너그러워요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</si>
  <si>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사람과 아름다운 것을 아끼는 마음이 크고 주변에 따뜻한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시간이나 돈이 커질 때는 한도를 정해 두면 여유를 오래 누릴 수 있어요</t>
    </r>
    <r>
      <rPr>
        <sz val="10"/>
        <rFont val="맑은 고딕"/>
        <family val="0"/>
        <charset val="1"/>
      </rPr>
      <t xml:space="preserve">.</t>
    </r>
  </si>
  <si>
    <t xml:space="preserve">ASP_VENUS_JUPITER_HARM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</si>
  <si>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</si>
  <si>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좋아하는 것을 넉넉하게 키워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</si>
  <si>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사람들과 어울리며 좋은 인연과 즐거움을 자연스럽게 만나는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고마운 마음을 자주 표현하면 이 따뜻한 흐름이 더 넓게 퍼집니다</t>
    </r>
    <r>
      <rPr>
        <sz val="10"/>
        <rFont val="맑은 고딕"/>
        <family val="0"/>
        <charset val="1"/>
      </rPr>
      <t xml:space="preserve">.</t>
    </r>
  </si>
  <si>
    <t xml:space="preserve">ASP_VENUS_JUPITER_TENSE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</si>
  <si>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</si>
  <si>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좋아하는 것과 확장의 별이 만나 더 많은 것을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</si>
  <si>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것을 더 많이 누리고 싶어 지나치게 베풀거나 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정말 기쁨을 주는 것이 무엇인지 골라 보면 만족은 커지고 부담은 줄어요</t>
    </r>
    <r>
      <rPr>
        <sz val="10"/>
        <rFont val="맑은 고딕"/>
        <family val="0"/>
        <charset val="1"/>
      </rPr>
      <t xml:space="preserve">.</t>
    </r>
  </si>
  <si>
    <t xml:space="preserve">ASP_VENUS_SATURN_CONJ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</si>
  <si>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</si>
  <si>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좋아하는 것과 책임의 별이 겹쳐 마음이 진지해요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</si>
  <si>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좋아하는 것에 신중하고 한번 마음을 주면 오래 지키는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일에 인색해질 때는 작은 선물로 스스로에게 다정함을 건네 보세요</t>
    </r>
    <r>
      <rPr>
        <sz val="10"/>
        <rFont val="맑은 고딕"/>
        <family val="0"/>
        <charset val="1"/>
      </rPr>
      <t xml:space="preserve">.</t>
    </r>
  </si>
  <si>
    <t xml:space="preserve">ASP_VENUS_SATURN_HARM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</si>
  <si>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</si>
  <si>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좋아하는 것을 오래 지켜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</si>
  <si>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시간이 지날수록 깊어지는 관계와 취향을 소중히 여기는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습관에 꾸준히 마음을 쓰면 단단한 안정감이 쌓입니다</t>
    </r>
    <r>
      <rPr>
        <sz val="10"/>
        <rFont val="맑은 고딕"/>
        <family val="0"/>
        <charset val="1"/>
      </rPr>
      <t xml:space="preserve">.</t>
    </r>
  </si>
  <si>
    <t xml:space="preserve">ASP_VENUS_SATURN_TENSE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</si>
  <si>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</si>
  <si>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좋아하는 것과 책임의 별이 서로를 조여요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</si>
  <si>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표현하기 전에 망설이거나 내가 사랑받을 만한지 의심하기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호의를 주고받는 경험을 쌓아 가면 조심스러움이 깊고 믿음직한 마음으로 자라요</t>
    </r>
    <r>
      <rPr>
        <sz val="10"/>
        <rFont val="맑은 고딕"/>
        <family val="0"/>
        <charset val="1"/>
      </rPr>
      <t xml:space="preserve">.</t>
    </r>
  </si>
  <si>
    <t xml:space="preserve">ASP_MARS_JUPITER_CONJ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</si>
  <si>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</si>
  <si>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의욕과 확장의 별이 겹쳐 에너지가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</si>
  <si>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목표를 향해 과감하게 나아가는 용기와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많은 일을 벌이기 쉬우니 체력과 시간을 미리 나눠 두면 끝까지 힘을 쓸 수 있어요</t>
    </r>
    <r>
      <rPr>
        <sz val="10"/>
        <rFont val="맑은 고딕"/>
        <family val="0"/>
        <charset val="1"/>
      </rPr>
      <t xml:space="preserve">.</t>
    </r>
  </si>
  <si>
    <t xml:space="preserve">ASP_MARS_JUPITER_HARM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</si>
  <si>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</si>
  <si>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의욕에 날개를 달아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</si>
  <si>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도전 앞에서 자신감 있게 움직이고 기회를 잘 붙잡는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운동이나 새 프로젝트처럼 에너지를 크게 쓸 곳을 정해 두면 이 힘이 더 빛납니다</t>
    </r>
    <r>
      <rPr>
        <sz val="10"/>
        <rFont val="맑은 고딕"/>
        <family val="0"/>
        <charset val="1"/>
      </rPr>
      <t xml:space="preserve">.</t>
    </r>
  </si>
  <si>
    <t xml:space="preserve">ASP_MARS_JUPITER_TENSE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</si>
  <si>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</si>
  <si>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의욕과 확장의 별이 서로 속도를 높여요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</si>
  <si>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의욕이 앞서 무리하거나 결과를 서두르기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시간도 일정에 넣어 두면 지치지 않고 오래 달릴 수 있어요</t>
    </r>
    <r>
      <rPr>
        <sz val="10"/>
        <rFont val="맑은 고딕"/>
        <family val="0"/>
        <charset val="1"/>
      </rPr>
      <t xml:space="preserve">.</t>
    </r>
  </si>
  <si>
    <t xml:space="preserve">ASP_MARS_SATURN_CONJ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</si>
  <si>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</si>
  <si>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의욕과 책임의 별이 겹쳐 끈기가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</si>
  <si>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시작한 일을 묵묵히 밀고 나가는 끈기와 절제력이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참는 데 익숙한 만큼 쌓인 피로를 제때 풀어 주어야 힘이 오래가요</t>
    </r>
    <r>
      <rPr>
        <sz val="10"/>
        <rFont val="맑은 고딕"/>
        <family val="0"/>
        <charset val="1"/>
      </rPr>
      <t xml:space="preserve">.</t>
    </r>
  </si>
  <si>
    <t xml:space="preserve">ASP_MARS_SATURN_HARM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</si>
  <si>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</si>
  <si>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의욕을 꾸준한 힘으로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</si>
  <si>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달리기보다 계획을 세워 꾸준히 해내는 실행력이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호흡이 필요한 목표에서 이 힘이 특히 잘 드러납니다</t>
    </r>
    <r>
      <rPr>
        <sz val="10"/>
        <rFont val="맑은 고딕"/>
        <family val="0"/>
        <charset val="1"/>
      </rPr>
      <t xml:space="preserve">.</t>
    </r>
  </si>
  <si>
    <t xml:space="preserve">ASP_MARS_SATURN_TENSE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</si>
  <si>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</si>
  <si>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의욕과 책임의 별이 서로 브레이크를 걸어요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</si>
  <si>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마음과 멈춰야 한다는 마음이 부딪쳐 답답함이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큰일을 작은 단계로 나눠 하나씩 끝내 가면 그 긴장이 쉽게 꺾이지 않는 힘으로 바뀌어요</t>
    </r>
    <r>
      <rPr>
        <sz val="10"/>
        <rFont val="맑은 고딕"/>
        <family val="0"/>
        <charset val="1"/>
      </rPr>
      <t xml:space="preserve">.</t>
    </r>
  </si>
  <si>
    <t xml:space="preserve">ASP_JUPITER_SATURN_CONJ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</si>
  <si>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</si>
  <si>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확장의 별과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</si>
  <si>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꿈을 키우는 마음과 현실을 따지는 마음이 한자리에 모여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계획을 세우되 기한과 단계를 함께 정하면 두 힘이 모두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</si>
  <si>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캐릭터 근거로는 가중치 낮게 쓰는 것을 권장</t>
    </r>
  </si>
  <si>
    <t xml:space="preserve">ASP_JUPITER_SATURN_HARM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</si>
  <si>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</si>
  <si>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확장의 별과 책임의 별이 서로 균형을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</si>
  <si>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기회를 보는 눈과 현실적으로 다지는 힘이 함께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목표를 세우고 꾸준히 점검하면 이 균형이 큰 성과로 이어지기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</si>
  <si>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</t>
    </r>
  </si>
  <si>
    <t xml:space="preserve">ASP_JUPITER_SATURN_TENSE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</si>
  <si>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</si>
  <si>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확장의 별과 책임의 별이 서로 다른 속도를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</si>
  <si>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나아가고 싶은 마음과 지금을 지키고 싶은 마음 사이에서 망설이기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시도할 것과 지킬 것을 나눠 정해 두면 두 마음이 서로를 보완하는 힘이 돼요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</si>
  <si>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선택 카드 문장</t>
    </r>
    <r>
      <rPr>
        <b val="true"/>
        <sz val="10"/>
        <color rgb="FFFDF6E9"/>
        <rFont val="맑은 고딕"/>
        <family val="0"/>
        <charset val="1"/>
      </rPr>
      <t xml:space="preserve">(1</t>
    </r>
    <r>
      <rPr>
        <b val="true"/>
        <sz val="10"/>
        <color rgb="FFFDF6E9"/>
        <rFont val="Noto Sans CJK SC"/>
        <family val="2"/>
      </rPr>
      <t xml:space="preserve">인칭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</si>
  <si>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요즘 나는 마음이 허전하면 내가 먼저 친구에게 연락해 약속을 잡아요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오면 휴대폰을 자꾸 들여다보며 마음이 급해집니다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</si>
  <si>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날에도 상대의 하루부터 묻고 이야기를 들어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정작 내 이야기는 꺼내지 못한 채 대화가 끝나곤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</si>
  <si>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일이 있어도 괜찮다고 말하고 혼자 조용히 추스르는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정리된 뒤에야 가까운 사람에게 지나간 일처럼 짧게 털어놓아요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</si>
  <si>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혼자 추스른 뒤 털어놓음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거북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불편할 때 물러남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가오리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다툼 뒤 자리 피함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모두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 계기를 다르게 씀 — 셋이 후보로 함께 뜰 때 구분되는지 확인</t>
    </r>
  </si>
  <si>
    <r>
      <rPr>
        <sz val="10"/>
        <rFont val="Noto Sans CJK SC"/>
        <family val="2"/>
      </rPr>
      <t xml:space="preserve">요즘 나는 속상한 날일수록 할 일 목록을 정리하며 몸을 바쁘게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털어놓기보다 함께할 일과 계획부터 챙기는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</si>
  <si>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가까운 사람의 마음이 궁금하면 직접 찾아가 확인하고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괜찮다는 대답을 듣고도 며칠 뒤 다시 묻고 싶어지곤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</si>
  <si>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틀어질까 봐 서운한 일도 그냥 넘기고 상대 뜻을 따르는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자리가 편안하면 그걸로 됐다고 스스로를 달랩니다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</si>
  <si>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새로 가까워지는 사람을 한동안 멀찍이서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맡겨도 될지 혼자 충분히 가늠한 다음에야 한 걸음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</si>
  <si>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겉으로는 아무렇지 않은 척하면서 속으로는 관계가 틀어지지 않게 계획을 짜요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불안한 마음은 말하지 않고 혼자 대비책을 세워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</si>
  <si>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선을 넘는다 싶으면 그 자리에서 바로 불편하다고 말해요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말하고 나서 말투가 생각보다 셌던 것 같아 마음에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</si>
  <si>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거절하고 싶은 부탁도 상대 표정을 보면 결국 들어주고 말아요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시간이 줄어드는 걸 알면서도 싫다는 말이 잘 나오지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</si>
  <si>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내 영역에 불쑥 들어오면 말없이 연락을 줄이고 혼자 있는 시간으로 물러나요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불편하다는 말 대신 조용히 자리를 비켜 숨을 고르는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</si>
  <si>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사람마다 어디까지 보여 줄지 상황을 따져 보며 정하는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부탁을 받으면 들어줄 수 있는 만큼을 가늠한 뒤에 조건을 붙여 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</si>
  <si>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하고 싶은 말이 생기면 바로 꺼내야 마음이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말해 놓고 돌아서서 그 말을 다시 곱씹기도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</si>
  <si>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대화에서 분위기를 살리는 맞장구는 잘 치지만 내 진짜 생각은 잘 꺼내지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끝나고 나서야 하고 싶었던 말이 떠오르곤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</si>
  <si>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할 말을 머릿속으로 여러 번 다듬느라 말할 때를 자주 놓쳐요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메시지를 써 두고 한참 고친 뒤에야 보내는 날이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</si>
  <si>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혹등고래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다듬다 때를 놓침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개구리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때를 고르다 미룸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비슷하게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다듬기</t>
    </r>
    <r>
      <rPr>
        <sz val="10"/>
        <rFont val="맑은 고딕"/>
        <family val="0"/>
        <charset val="1"/>
      </rPr>
      <t xml:space="preserve">' vs '</t>
    </r>
    <r>
      <rPr>
        <sz val="10"/>
        <rFont val="Noto Sans CJK SC"/>
        <family val="2"/>
      </rPr>
      <t xml:space="preserve">때 고르기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갈랐음</t>
    </r>
  </si>
  <si>
    <r>
      <rPr>
        <sz val="10"/>
        <rFont val="Noto Sans CJK SC"/>
        <family val="2"/>
      </rPr>
      <t xml:space="preserve">요즘 나는 중요한 이야기는 상대 기분과 상황이 괜찮은 때를 골라 꺼내려고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좋은 때를 기다리다 다음으로 미뤄 둔 말이 몇 가지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</si>
  <si>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누군가와 서먹해지면 그날 안에 먼저 연락해 풀고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생각할 시간이 필요해 보여도 답을 기다리기가 쉽지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</si>
  <si>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다툼이 생기면 내가 먼저 웃으며 분위기를 풀고 넘어가요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서운했던 마음은 말하지 않은 채 그냥 흘려보내는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</si>
  <si>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말다툼이 생기면 일단 자리를 피해 마음이 가라앉을 때까지 혼자 시간을 가져요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이야기할 준비가 되기까지 생각보다 오래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</si>
  <si>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어긋나면 무엇이 문제였는지 정리하고 해결책부터 찾으려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상대는 위로를 바랐는데 방법부터 말해 버린 적도 있습니다</t>
    </r>
    <r>
      <rPr>
        <sz val="10"/>
        <rFont val="맑은 고딕"/>
        <family val="0"/>
        <charset val="1"/>
      </rPr>
      <t xml:space="preserve">.</t>
    </r>
  </si>
  <si>
    <t xml:space="preserve">놓아줄 것</t>
  </si>
  <si>
    <t xml:space="preserve">키울 것</t>
  </si>
  <si>
    <r>
      <rPr>
        <sz val="10"/>
        <rFont val="Noto Sans CJK SC"/>
        <family val="2"/>
      </rPr>
      <t xml:space="preserve">답을 기다리지 못하고 한 번 더 연락하고 싶은 마음은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다가가는 용기는 한때 관계를 식지 않게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지나치면 내 마음만 더 급해지기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</si>
  <si>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날에는 들어만 주면 좋겠다는 식으로 바라는 것을 한마디로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</si>
  <si>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수달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놓아줄 것 — 모든 걸 혼자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빨리 해결해야 한다는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방향이 다름 — 샘플은 차트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양자리 집중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행은 캐릭터 방식 근거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Q3</t>
    </r>
    <r>
      <rPr>
        <sz val="10"/>
        <rFont val="Noto Sans CJK SC"/>
        <family val="2"/>
      </rPr>
      <t xml:space="preserve">와 이을 때 어느 쪽을 우선할지 확인</t>
    </r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</si>
  <si>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관계를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</si>
  <si>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대화할 때마다 한 번은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</si>
  <si>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정리된 뒤에야 지나간 일처럼 털어놓는 습관은 조금 느슨하게 풀어도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추스르는 시간은 한때 나를 단단하게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그사이 곁에 있는 사람이 도울 기회도 함께 지나가기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</si>
  <si>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된 마음도 가까운 사람에게 보여 줄 수 있는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힘든 일이 생긴 그 주 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한 사람에게 요즘 이런 일이 있다고만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</si>
  <si>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날일수록 할 일만 붙잡고 바쁘게 움직이는 습관은 내려놓아도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눈앞의 일을 정리하는 힘은 한때 흔들리는 하루를 붙잡아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나눌 틈까지 일로 채우면 혼자 지치기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</si>
  <si>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계획보다 마음을 먼저 꺼내 기대는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함께할 일을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어떤 기분인지 서로 한 번씩 묻는 시간을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</si>
  <si>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마음을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</si>
  <si>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확인하지 않아도 함께 쌓아 온 시간을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묻고 싶은 마음이 올라올 때마다 고마웠던 순간을 하나씩 적어 두는 작은 기록을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</si>
  <si>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사이가 틀어질까 봐 서운한 마음까지 삼키는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주는 마음은 한때 소중한 사이를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참은 서운함이 쌓이면 오히려 믿음이 얇아지기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</si>
  <si>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것을 말해도 관계가 쉽게 무너지지 않는다고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메뉴나 약속 장소처럼 작은 선택부터 내 의견을 먼저 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</si>
  <si>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믿어도 될지 끝까지 확인한 뒤에야 마음을 여는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멀리서 지켜보는 신중함은 한때 상처를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확인이 길어지면 이미 다가온 따뜻함을 놓치기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</si>
  <si>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것이 확인되지 않아도 조금씩 마음을 맡겨 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지켜보던 사람 가운데 한 명에게 작은 고민 하나를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</si>
  <si>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마음은 숨긴 채 혼자 대비책만 다시 짜는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속으로 균형을 잡는 힘은 한때 관계를 흔들림 없이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감당하는 무게가 커질수록 쉽게 지치기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</si>
  <si>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불안을 말로 나눠도 관계가 단단히 버틴다고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계획을 세우기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마음에 걸리는 점을 가까운 사람과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</si>
  <si>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불편함이 느껴지는 순간 바로 세게 맞서는 습관은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즉시 신호를 보내는 힘은 한때 나를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앞서면 정말 지키고 싶던 것이 오히려 가려지기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</si>
  <si>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선을 차분한 말로 분명하게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자주 불편해지는 상황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할 말을 미리 한 문장으로 준비해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</si>
  <si>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말을 삼키고 부탁부터 들어주는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자리를 내주는 마음은 한때 관계를 부드럽게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내게 맞는 자리를 잃기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</si>
  <si>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다정함은 지키면서 내 몫과 남의 몫을 구분하는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부탁을 받으면 바로 답하지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생각해 보고 알려 주겠다는 말로 시간을 벌어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</si>
  <si>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조용히 연락을 줄이고 물러나는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나를 지켜 준 안전한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이유를 모르는 상대는 같은 선을 또 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</si>
  <si>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물러나기 전에 어디까지가 편한지 말로 알려 주는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불편한 일이 생기면 짧은 메시지로라도 내가 바라는 것을 하나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</si>
  <si>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어디까지 보여 줄지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</si>
  <si>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내 마음을 먼저 확인하고 선을 정하는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한 주를 돌아보며 편했던 만남과 지쳤던 만남을 나눠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차이로 나만의 기준을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</si>
  <si>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말을 그 자리에서 바로 꺼내야 마음이 놓이는 습관은 조금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목소리를 내는 힘은 한때 대화를 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급하게 나간 말은 뒤늦게 곱씹을 일을 남기기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</si>
  <si>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상대에게 잘 닿도록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</si>
  <si>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살리느라 내 생각을 뒤로 숨기는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맞장구로 대화를 밝게 만드는 힘은 한때 모두를 편하게 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 목소리가 대화에서 점점 옅어지기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</si>
  <si>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분위기는 지키면서 내 진짜 생각을 한 문장 보태는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가까운 사람과의 대화부터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나는 조금 다르게 생각했다는 말을 편하게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</si>
  <si>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다듬어질 때까지 말을 품고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생각하는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다듬는 사이 말할 때가 지나가 버리기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</si>
  <si>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덜 다듬어진 생각도 지금의 마음 그대로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하고 싶은 말이 생기면 하루를 넘기지 말고 짧게라도 먼저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</si>
  <si>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이끌어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</si>
  <si>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조금 어색한 때라도 필요한 말을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미뤄 둔 이야기 하나를 골라 가벼운 자리에서 먼저 운을 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</si>
  <si>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어긋난 사이를 그날 안에 풀어야 한다는 조급함은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손을 내미는 힘은 한때 관계를 빨리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준비되기 전에 다가가면 오히려 마음이 닫히기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</si>
  <si>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 상대의 속도를 믿고 기다리는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다툼 뒤에 내 마음은 짧게 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답은 편할 때 해도 된다는 말을 함께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</si>
  <si>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 때 한꺼번에 올라오기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</si>
  <si>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관계를 지키는 일과 내 마음을 지키는 일이 함께 갈 수 있다고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서운한 일이 생기면 한 줄 메모로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하나씩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</si>
  <si>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가라앉을 때까지 말없이 오래 혼자 떨어져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</si>
  <si>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시간을 가지면서도 돌아올 길을 열어 두는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쉬고 돌아왔을 때 먼저 건넬 첫마디를 미리 한 문장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</si>
  <si>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듣기 전에 해결책부터 정리해 내미는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차근차근 길을 찾는 힘은 한때 어긋난 사이를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먼저 닿지 않으면 좋은 해결책도 멀게 느껴지기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</si>
  <si>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해결보다 먼저 상대의 마음을 알아주는 말을 건네는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내 생각을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한 말을 한 번 그대로 되짚어 주는 연습을 해 보세요</t>
    </r>
    <r>
      <rPr>
        <sz val="10"/>
        <rFont val="맑은 고딕"/>
        <family val="0"/>
        <charset val="1"/>
      </rPr>
      <t xml:space="preserve">.</t>
    </r>
  </si>
  <si>
    <t xml:space="preserve">살피는 하우스</t>
  </si>
  <si>
    <t xml:space="preserve">살피는 행성</t>
  </si>
  <si>
    <t xml:space="preserve">살핀 자리 안내</t>
  </si>
  <si>
    <t xml:space="preserve">하늘이 조용할 때</t>
  </si>
  <si>
    <r>
      <rPr>
        <b val="true"/>
        <sz val="10"/>
        <color rgb="FFFDF6E9"/>
        <rFont val="Noto Sans CJK SC"/>
        <family val="2"/>
      </rPr>
      <t xml:space="preserve">장면 배경 키워드</t>
    </r>
    <r>
      <rPr>
        <b val="true"/>
        <sz val="10"/>
        <color rgb="FFFDF6E9"/>
        <rFont val="맑은 고딕"/>
        <family val="0"/>
        <charset val="1"/>
      </rPr>
      <t xml:space="preserve">(AI</t>
    </r>
    <r>
      <rPr>
        <b val="true"/>
        <sz val="10"/>
        <color rgb="FFFDF6E9"/>
        <rFont val="Noto Sans CJK SC"/>
        <family val="2"/>
      </rPr>
      <t xml:space="preserve">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</si>
  <si>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Q1_CAREER</t>
  </si>
  <si>
    <t xml:space="preserve">10 · 6</t>
  </si>
  <si>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천정</t>
    </r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</si>
  <si>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커리어를 고르셨기에 차트에서 커리어와 사회적 역할을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매일의 업무와 루틴을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방향을 비추는 천정과 책임의 별 토성이 받는 흐름도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</si>
  <si>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일의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흐름에 떠밀리지 않는 만큼 일의 속도와 다음 목표를 내가 정해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</si>
  <si>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업무 메신저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퇴근길</t>
    </r>
  </si>
  <si>
    <r>
      <rPr>
        <sz val="10"/>
        <rFont val="맑은 고딕"/>
        <family val="0"/>
        <charset val="1"/>
      </rPr>
      <t xml:space="preserve">A15 FIX_QUIET_DOMAIN(</t>
    </r>
    <r>
      <rPr>
        <sz val="10"/>
        <rFont val="Noto Sans CJK SC"/>
        <family val="2"/>
      </rPr>
      <t xml:space="preserve">공통 문구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역할이 겹침 — 영역별 </t>
    </r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이 있으면 </t>
    </r>
    <r>
      <rPr>
        <sz val="10"/>
        <rFont val="맑은 고딕"/>
        <family val="0"/>
        <charset val="1"/>
      </rPr>
      <t xml:space="preserve">FIX_QUIET_DOMAIN</t>
    </r>
    <r>
      <rPr>
        <sz val="10"/>
        <rFont val="Noto Sans CJK SC"/>
        <family val="2"/>
      </rPr>
      <t xml:space="preserve">은 예비용으로 둘지 확인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 언급 문장 대체 필요 여부 확인</t>
    </r>
  </si>
  <si>
    <t xml:space="preserve">Q1_GROWTH</t>
  </si>
  <si>
    <t xml:space="preserve">9 · 3</t>
  </si>
  <si>
    <r>
      <rPr>
        <sz val="10"/>
        <rFont val="Noto Sans CJK SC"/>
        <family val="2"/>
      </rPr>
      <t xml:space="preserve">목성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수성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</si>
  <si>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자기계발을 고르셨기에 넓은 배움과 신념을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배움과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확장과 기회의 별 목성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생각과 배움을 맡는 수성의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</si>
  <si>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배움의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서두르라는 신호가 없는 만큼 무엇을 언제 배울지 내 리듬대로 고를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</si>
  <si>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자격증 준비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진로 선택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강의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책상 앞</t>
    </r>
  </si>
  <si>
    <t xml:space="preserve">Q1_LOVE</t>
  </si>
  <si>
    <t xml:space="preserve">5 · 7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</si>
  <si>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화성</t>
    </r>
  </si>
  <si>
    <r>
      <rPr>
        <sz val="10"/>
        <rFont val="Noto Sans CJK SC"/>
        <family val="2"/>
      </rPr>
      <t xml:space="preserve">연애를 고르셨기에 즐거움과 설렘을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일대일 관계를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것과 관계를 맡는 금성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행동으로 옮기는 화성의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</si>
  <si>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연애의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재촉하지 않는 만큼 관계의 속도와 거리를 내 마음에 맞춰 정해 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</si>
  <si>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메시지 답장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주말 약속</t>
    </r>
  </si>
  <si>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은 연인이 있는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없는 사용자 모두에게 맞도록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관계의 속도와 거리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 — 만남 권유로 읽히지 않는지 확인</t>
    </r>
  </si>
  <si>
    <t xml:space="preserve">Q1_FAMILY</t>
  </si>
  <si>
    <r>
      <rPr>
        <sz val="10"/>
        <rFont val="Noto Sans CJK SC"/>
        <family val="2"/>
      </rPr>
      <t xml:space="preserve">가족을 고르셨기에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감정과 마음의 안정을 맡는 달이 어디에 있고 어떤 흐름을 받는지도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</si>
  <si>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안부를 나누는 리듬을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</si>
  <si>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명절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안부 전화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가족 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식탁</t>
    </r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</si>
  <si>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하우스가 없어 </t>
    </r>
    <r>
      <rPr>
        <sz val="10"/>
        <rFont val="맑은 고딕"/>
        <family val="0"/>
        <charset val="1"/>
      </rPr>
      <t xml:space="preserve">focus_intro </t>
    </r>
    <r>
      <rPr>
        <sz val="10"/>
        <rFont val="Noto Sans CJK SC"/>
        <family val="2"/>
      </rPr>
      <t xml:space="preserve">앞 문장이 맞지 않음 —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등급용 대체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행성만 언급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필요한지 확인</t>
    </r>
  </si>
  <si>
    <t xml:space="preserve">Q1_SOCIAL</t>
  </si>
  <si>
    <t xml:space="preserve">11 · 3</t>
  </si>
  <si>
    <r>
      <rPr>
        <sz val="10"/>
        <rFont val="Noto Sans CJK SC"/>
        <family val="2"/>
      </rPr>
      <t xml:space="preserve">수성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천왕성</t>
    </r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</si>
  <si>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사회관계를 고르셨기에 사람들과 공동체를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이웃과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연락과 말을 맡는 수성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전환을 맡는 천왕성의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</si>
  <si>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사람들의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넓힐지 줄일지 바깥 흐름보다 내 기준으로 정할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</si>
  <si>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동료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부탁과 거절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약속</t>
    </r>
  </si>
  <si>
    <t xml:space="preserve">Q1_MONEY</t>
  </si>
  <si>
    <t xml:space="preserve">2 · 8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</si>
  <si>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토성</t>
    </r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</si>
  <si>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생활안정을 고르셨기에 돈과 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함께 나누는 자원을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감각을 맡는 금성과 구조를 세우는 토성의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</si>
  <si>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돈과 생활의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흔드는 힘이 적은 만큼 지출과 저축의 리듬을 내 속도로 다져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</si>
  <si>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저축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장보기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월급날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생활 리듬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</si>
  <si>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매매 시점 언급 금지 — </t>
    </r>
    <r>
      <rPr>
        <sz val="10"/>
        <rFont val="맑은 고딕"/>
        <family val="0"/>
        <charset val="1"/>
      </rPr>
      <t xml:space="preserve">scene_hint</t>
    </r>
    <r>
      <rPr>
        <sz val="10"/>
        <rFont val="Noto Sans CJK SC"/>
        <family val="2"/>
      </rPr>
      <t xml:space="preserve">에서도 투자 관련 키워드는 뺐음</t>
    </r>
  </si>
  <si>
    <t xml:space="preserve">기질</t>
  </si>
  <si>
    <t xml:space="preserve">바람 묶음</t>
  </si>
  <si>
    <t xml:space="preserve">판정 뒤 한 문장</t>
  </si>
  <si>
    <t xml:space="preserve">배지 설명</t>
  </si>
  <si>
    <t xml:space="preserve">MV_MOVE_CARD_CHG</t>
  </si>
  <si>
    <t xml:space="preserve">움직이는 해</t>
  </si>
  <si>
    <t xml:space="preserve">변화 바람</t>
  </si>
  <si>
    <r>
      <rPr>
        <sz val="10"/>
        <rFont val="Noto Sans CJK SC"/>
        <family val="2"/>
      </rPr>
      <t xml:space="preserve">변화를 바라는 마음과 하늘의 움직임이 같은 쪽을 향하는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변화는 원래 당신에게 익숙한 무대이니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 가운데 바라는 방향에 맞는 것부터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</si>
  <si>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환경 같은 변화가 많이 들어오기 쉬운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</si>
  <si>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이루어짐 </t>
    </r>
    <r>
      <rPr>
        <sz val="10"/>
        <rFont val="맑은 고딕"/>
        <family val="0"/>
        <charset val="1"/>
      </rPr>
      <t xml:space="preserve">+1 </t>
    </r>
    <r>
      <rPr>
        <sz val="10"/>
        <rFont val="Noto Sans CJK SC"/>
        <family val="2"/>
      </rPr>
      <t xml:space="preserve">규칙과 맞춰 ‘같은 쪽을 향한다’는 결로 썼습니다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토큰은 쓰지 않았습니다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badge_note</t>
    </r>
    <r>
      <rPr>
        <sz val="10"/>
        <rFont val="Noto Sans CJK SC"/>
        <family val="2"/>
      </rPr>
      <t xml:space="preserve">는 기질과 관계없이 움직임별로 같은 문장을 씁니다</t>
    </r>
    <r>
      <rPr>
        <sz val="10"/>
        <rFont val="맑은 고딕"/>
        <family val="0"/>
        <charset val="1"/>
      </rPr>
      <t xml:space="preserve">.</t>
    </r>
  </si>
  <si>
    <t xml:space="preserve">MV_MOVE_CARD_OTH</t>
  </si>
  <si>
    <t xml:space="preserve">그 밖의 바람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</si>
  <si>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변화는 원래 당신에게 익숙한 무대입니다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것들 사이에서 바라는 것과 이어지는 하나를 골라 붙잡아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</si>
  <si>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요청 예시 문장의 첫 문장 어미를 ‘무대예요’→‘무대입니다’로 바꿨습니다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한 셀 안 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섞기 규칙</t>
    </r>
    <r>
      <rPr>
        <sz val="10"/>
        <rFont val="맑은 고딕"/>
        <family val="0"/>
        <charset val="1"/>
      </rPr>
      <t xml:space="preserve">).</t>
    </r>
  </si>
  <si>
    <t xml:space="preserve">MV_MOVE_FIXED_CHG</t>
  </si>
  <si>
    <r>
      <rPr>
        <sz val="10"/>
        <rFont val="Noto Sans CJK SC"/>
        <family val="2"/>
      </rPr>
      <t xml:space="preserve">바라던 변화에 맞게 삶이 크게 움직이는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하나를 먼저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 역할과 기회를 더 차분하게 받아들일 수 있습니다</t>
    </r>
    <r>
      <rPr>
        <sz val="10"/>
        <rFont val="맑은 고딕"/>
        <family val="0"/>
        <charset val="1"/>
      </rPr>
      <t xml:space="preserve">.</t>
    </r>
  </si>
  <si>
    <t xml:space="preserve">MV_MOVE_FIXED_OTH</t>
  </si>
  <si>
    <r>
      <rPr>
        <sz val="10"/>
        <rFont val="Noto Sans CJK SC"/>
        <family val="2"/>
      </rPr>
      <t xml:space="preserve">주변이 많이 움직이는 해라 익숙한 자리가 흔들리는 순간도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하나만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제안도 내 속도로 고를 수 있어요</t>
    </r>
    <r>
      <rPr>
        <sz val="10"/>
        <rFont val="맑은 고딕"/>
        <family val="0"/>
        <charset val="1"/>
      </rPr>
      <t xml:space="preserve">.</t>
    </r>
  </si>
  <si>
    <t xml:space="preserve">MV_MOVE_MUT_CHG</t>
  </si>
  <si>
    <r>
      <rPr>
        <sz val="10"/>
        <rFont val="Noto Sans CJK SC"/>
        <family val="2"/>
      </rPr>
      <t xml:space="preserve">바라던 변화와 하늘의 움직임이 함께 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흐름을 타는 유연함이 당신의 힘이니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길 몇 갈래를 가볍게 시도해 보며 맞는 쪽을 찾아가기 좋습니다</t>
    </r>
    <r>
      <rPr>
        <sz val="10"/>
        <rFont val="맑은 고딕"/>
        <family val="0"/>
        <charset val="1"/>
      </rPr>
      <t xml:space="preserve">.</t>
    </r>
  </si>
  <si>
    <t xml:space="preserve">MV_MOVE_MUT_OTH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</si>
  <si>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흐름을 타는 유연함은 당신이 이미 가진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흐름을 따라가되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것과 이어지는 방향 하나는 놓치지 않도록 살펴보세요</t>
    </r>
    <r>
      <rPr>
        <sz val="10"/>
        <rFont val="맑은 고딕"/>
        <family val="0"/>
        <charset val="1"/>
      </rPr>
      <t xml:space="preserve">.</t>
    </r>
  </si>
  <si>
    <t xml:space="preserve">MV_QUIET_CARD_CHG</t>
  </si>
  <si>
    <t xml:space="preserve">잔잔한 해</t>
  </si>
  <si>
    <r>
      <rPr>
        <sz val="10"/>
        <rFont val="Noto Sans CJK SC"/>
        <family val="2"/>
      </rPr>
      <t xml:space="preserve">하늘의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변화의 속도를 내가 정하기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기다리기보다 스스로 불씨를 만드는 해로 삼아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시작 하나를 먼저 열어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</si>
  <si>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변화가 적어 내가 속도를 정하기 좋은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뜻합니다</t>
    </r>
    <r>
      <rPr>
        <sz val="10"/>
        <rFont val="맑은 고딕"/>
        <family val="0"/>
        <charset val="1"/>
      </rPr>
      <t xml:space="preserve">.</t>
    </r>
  </si>
  <si>
    <t xml:space="preserve">MV_QUIET_CARD_OTH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</si>
  <si>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움직임을 즐기는 당신이라면 스스로 작은 불씨를 만들어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향한 리듬을 내 손으로 정해 볼 수 있습니다</t>
    </r>
    <r>
      <rPr>
        <sz val="10"/>
        <rFont val="맑은 고딕"/>
        <family val="0"/>
        <charset val="1"/>
      </rPr>
      <t xml:space="preserve">.</t>
    </r>
  </si>
  <si>
    <t xml:space="preserve">MV_QUIET_FIXED_CHG</t>
  </si>
  <si>
    <r>
      <rPr>
        <sz val="10"/>
        <rFont val="Noto Sans CJK SC"/>
        <family val="2"/>
      </rPr>
      <t xml:space="preserve">바깥의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변화를 서두르기보다 그 바탕을 차분히 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다져 둔 준비가 원하는 변화로 옮겨 가는 발판이 될 수 있어요</t>
    </r>
    <r>
      <rPr>
        <sz val="10"/>
        <rFont val="맑은 고딕"/>
        <family val="0"/>
        <charset val="1"/>
      </rPr>
      <t xml:space="preserve">.</t>
    </r>
  </si>
  <si>
    <t xml:space="preserve">MV_QUIET_FIXED_OTH</t>
  </si>
  <si>
    <r>
      <rPr>
        <sz val="10"/>
        <rFont val="Noto Sans CJK SC"/>
        <family val="2"/>
      </rPr>
      <t xml:space="preserve">삶이 크게 흔들리지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향해 하루하루 차분히 쌓아 가기 좋은 때입니다</t>
    </r>
    <r>
      <rPr>
        <sz val="10"/>
        <rFont val="맑은 고딕"/>
        <family val="0"/>
        <charset val="1"/>
      </rPr>
      <t xml:space="preserve">.</t>
    </r>
  </si>
  <si>
    <t xml:space="preserve">MV_QUIET_MUT_CHG</t>
  </si>
  <si>
    <r>
      <rPr>
        <sz val="10"/>
        <rFont val="Noto Sans CJK SC"/>
        <family val="2"/>
      </rPr>
      <t xml:space="preserve">하늘의 큰 움직임이 적어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변화의 속도를 내가 정하기 좋은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서둘러 하나를 고르기보다 여러 가능성을 천천히 살펴보며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마음이 가는 방향을 찾아보세요</t>
    </r>
    <r>
      <rPr>
        <sz val="10"/>
        <rFont val="맑은 고딕"/>
        <family val="0"/>
        <charset val="1"/>
      </rPr>
      <t xml:space="preserve">.</t>
    </r>
  </si>
  <si>
    <t xml:space="preserve">MV_QUIET_MUT_OTH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</si>
  <si>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가능성을 천천히 살피며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것에 닿는 길을 내 속도로 골라 보기 좋은 때입니다</t>
    </r>
    <r>
      <rPr>
        <sz val="10"/>
        <rFont val="맑은 고딕"/>
        <family val="0"/>
        <charset val="1"/>
      </rPr>
      <t xml:space="preserve">.</t>
    </r>
  </si>
  <si>
    <t xml:space="preserve">경계 표시</t>
  </si>
  <si>
    <t xml:space="preserve">조건</t>
  </si>
  <si>
    <t xml:space="preserve">표 칸 배지</t>
  </si>
  <si>
    <t xml:space="preserve">판정 설명</t>
  </si>
  <si>
    <r>
      <rPr>
        <b val="true"/>
        <sz val="10"/>
        <color rgb="FFFDF6E9"/>
        <rFont val="Noto Sans CJK SC"/>
        <family val="2"/>
      </rPr>
      <t xml:space="preserve">경계 설명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위아래를 오가는 해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</si>
  <si>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EDGE_UP_CLEAR</t>
  </si>
  <si>
    <t xml:space="preserve">활짝 열리는 해에 가까움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</si>
  <si>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 없음</t>
    </r>
  </si>
  <si>
    <r>
      <rPr>
        <sz val="10"/>
        <rFont val="Noto Sans CJK SC"/>
        <family val="2"/>
      </rPr>
      <t xml:space="preserve">돕는 흐름만 있고 가로막는 흐름은 없는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힘이 활짝 열리는 해의 기준에 아주 조금 못 미칠 뿐이라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낮은 해로 볼 이유는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</si>
  <si>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기준선 위아래를 오가는 경계에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모자라지만 충분히 열릴 가능성이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앞선 해에 다진 것을 이어 가기만 해도 활짝 열리는 해처럼 누릴 수 있어요</t>
    </r>
    <r>
      <rPr>
        <sz val="10"/>
        <rFont val="맑은 고딕"/>
        <family val="0"/>
        <charset val="1"/>
      </rPr>
      <t xml:space="preserve">.</t>
    </r>
  </si>
  <si>
    <t xml:space="preserve">EDGE_UP_MIXED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</si>
  <si>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흐름도 있음</t>
    </r>
  </si>
  <si>
    <r>
      <rPr>
        <sz val="10"/>
        <rFont val="Noto Sans CJK SC"/>
        <family val="2"/>
      </rPr>
      <t xml:space="preserve">돕는 흐름이 무게보다 분명하게 큰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차이가 활짝 열리는 해의 기준에 조금 못 미쳐 내 손에 달린 해로 나왔을 뿐이에요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</si>
  <si>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때만 잘 넘기면 충분히 활짝 열릴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달을 미리 알아 두고 그때 힘을 모아 보세요</t>
    </r>
    <r>
      <rPr>
        <sz val="10"/>
        <rFont val="맑은 고딕"/>
        <family val="0"/>
        <charset val="1"/>
      </rPr>
      <t xml:space="preserve">.</t>
    </r>
  </si>
  <si>
    <t xml:space="preserve">EDGE_MID_LOW</t>
  </si>
  <si>
    <t xml:space="preserve">기반을 다지는 해와 경계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</si>
  <si>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위</t>
    </r>
  </si>
  <si>
    <t xml:space="preserve">다지는 쪽에 가까움</t>
  </si>
  <si>
    <r>
      <rPr>
        <sz val="10"/>
        <rFont val="Noto Sans CJK SC"/>
        <family val="2"/>
      </rPr>
      <t xml:space="preserve">돕는 흐름과 무게가 거의 같은 크기로 맞서는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내 손에 달린 해로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기준선 가까이에 있어 무게를 함께 챙기는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</si>
  <si>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어느 쪽으로든 조금씩 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실리는 시기에 할 일을 줄여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흐름이 결과를 이끌기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</si>
  <si>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역풍으로 단정하지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무게를 가볍게 넘기지 않도록 씀</t>
    </r>
  </si>
  <si>
    <t xml:space="preserve">EDGE_LOW_HIGH</t>
  </si>
  <si>
    <t xml:space="preserve">내 손에 달린 해와 경계</t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</si>
  <si>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아래</t>
    </r>
  </si>
  <si>
    <t xml:space="preserve">경계에 있는 다지는 해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</si>
  <si>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돕는 흐름을 아주 조금 넘어선 정도입니다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열리지는 않아도 막혀 있는 해는 아니에요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</si>
  <si>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달을 알고 대비하면 충분히 내 손에 달린 해처럼 보낼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시기에 작은 시도를 모아 두세요</t>
    </r>
    <r>
      <rPr>
        <sz val="10"/>
        <rFont val="맑은 고딕"/>
        <family val="0"/>
        <charset val="1"/>
      </rPr>
      <t xml:space="preserve">.</t>
    </r>
  </si>
  <si>
    <t xml:space="preserve">역풍을 좋게 포장하지 않도록 첫 문장에 판정을 그대로 밝힘</t>
  </si>
  <si>
    <t xml:space="preserve">위치</t>
  </si>
  <si>
    <r>
      <rPr>
        <b val="true"/>
        <sz val="10"/>
        <color rgb="FFFDF6E9"/>
        <rFont val="Noto Sans CJK SC"/>
        <family val="2"/>
      </rPr>
      <t xml:space="preserve">문구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틀</t>
    </r>
  </si>
  <si>
    <t xml:space="preserve">설명</t>
  </si>
  <si>
    <t xml:space="preserve">SUM_TYPE</t>
  </si>
  <si>
    <t xml:space="preserve">별이 본 나의 유형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</si>
  <si>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 · </t>
    </r>
    <r>
      <rPr>
        <sz val="10"/>
        <rFont val="Noto Sans CJK SC"/>
        <family val="2"/>
      </rPr>
      <t xml:space="preserve">별이 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}({</t>
    </r>
    <r>
      <rPr>
        <sz val="10"/>
        <rFont val="Noto Sans CJK SC"/>
        <family val="2"/>
      </rPr>
      <t xml:space="preserve">역량</t>
    </r>
    <r>
      <rPr>
        <sz val="10"/>
        <rFont val="맑은 고딕"/>
        <family val="0"/>
        <charset val="1"/>
      </rPr>
      <t xml:space="preserve">} × {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})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</si>
  <si>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}=A5 type_line</t>
    </r>
  </si>
  <si>
    <t xml:space="preserve">SUM_2026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</si>
  <si>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회고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</si>
  <si>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년을 하늘의 흐름으로 돌아볼게요</t>
    </r>
    <r>
      <rPr>
        <sz val="10"/>
        <rFont val="맑은 고딕"/>
        <family val="0"/>
        <charset val="1"/>
      </rPr>
      <t xml:space="preserve">.</t>
    </r>
  </si>
  <si>
    <t xml:space="preserve">SUM_EOY</t>
  </si>
  <si>
    <t xml:space="preserve">연말까지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</si>
  <si>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지금부터 연말까지는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조심해야 하는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</si>
  <si>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아래 </t>
    </r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영역별 표현</t>
    </r>
  </si>
  <si>
    <t xml:space="preserve">SUM_2027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</si>
  <si>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이고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</si>
  <si>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이중 표기 판정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}=A9 keyword</t>
    </r>
  </si>
  <si>
    <t xml:space="preserve">SUM_5Y_OPEN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</si>
  <si>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열리는 해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</si>
  <si>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바라는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</si>
  <si>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SUM_5Y_NEAR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</si>
  <si>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</si>
  <si>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가장 가까워지는 해는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</si>
  <si>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SUM_QUESTION</t>
  </si>
  <si>
    <t xml:space="preserve">질문과 웰니스 제안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</si>
  <si>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님께 별이 드리는 질문은 ‘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}’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</si>
  <si>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}=A17a headline_q</t>
    </r>
  </si>
  <si>
    <t xml:space="preserve">EOY_CAREER</t>
  </si>
  <si>
    <r>
      <rPr>
        <sz val="10"/>
        <rFont val="Noto Sans CJK SC"/>
        <family val="2"/>
      </rPr>
      <t xml:space="preserve">연말 조심할 것 — 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</si>
  <si>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일과 말</t>
  </si>
  <si>
    <t xml:space="preserve">EOY_GROWTH</t>
  </si>
  <si>
    <r>
      <rPr>
        <sz val="10"/>
        <rFont val="Noto Sans CJK SC"/>
        <family val="2"/>
      </rPr>
      <t xml:space="preserve">연말 조심할 것 — 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</si>
  <si>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배움과 결정</t>
  </si>
  <si>
    <t xml:space="preserve">EOY_LOVE</t>
  </si>
  <si>
    <t xml:space="preserve">연말 조심할 것 — 연애</t>
  </si>
  <si>
    <t xml:space="preserve">마음과 약속</t>
  </si>
  <si>
    <t xml:space="preserve">EOY_FAMILY</t>
  </si>
  <si>
    <t xml:space="preserve">연말 조심할 것 — 가족</t>
  </si>
  <si>
    <t xml:space="preserve">집안의 말과 결정</t>
  </si>
  <si>
    <t xml:space="preserve">EOY_SOCIAL</t>
  </si>
  <si>
    <r>
      <rPr>
        <sz val="10"/>
        <rFont val="Noto Sans CJK SC"/>
        <family val="2"/>
      </rPr>
      <t xml:space="preserve">연말 조심할 것 — 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</si>
  <si>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관계의 말과 약속</t>
  </si>
  <si>
    <t xml:space="preserve">EOY_MONEY</t>
  </si>
  <si>
    <r>
      <rPr>
        <sz val="10"/>
        <rFont val="Noto Sans CJK SC"/>
        <family val="2"/>
      </rPr>
      <t xml:space="preserve">연말 조심할 것 — 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</si>
  <si>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지출과 계약</t>
  </si>
  <si>
    <t xml:space="preserve">HEAD_PLANETS</t>
  </si>
  <si>
    <t xml:space="preserve">소제목</t>
  </si>
  <si>
    <t xml:space="preserve">• 나의 행성 읽기</t>
  </si>
  <si>
    <t xml:space="preserve">HEAD_ASPECTS</t>
  </si>
  <si>
    <t xml:space="preserve">• 행성끼리의 관계</t>
  </si>
  <si>
    <t xml:space="preserve">HEAD_2026_Q</t>
  </si>
  <si>
    <t xml:space="preserve">• 분기별로 돌아보면</t>
  </si>
  <si>
    <t xml:space="preserve">HEAD_EOY_MONTH</t>
  </si>
  <si>
    <t xml:space="preserve">• 달마다 살펴볼 것</t>
  </si>
  <si>
    <t xml:space="preserve">HEAD_2027_FLOW</t>
  </si>
  <si>
    <r>
      <rPr>
        <sz val="10"/>
        <rFont val="맑은 고딕"/>
        <family val="0"/>
        <charset val="1"/>
      </rPr>
      <t xml:space="preserve">• 2027</t>
    </r>
    <r>
      <rPr>
        <sz val="10"/>
        <rFont val="Noto Sans CJK SC"/>
        <family val="2"/>
      </rPr>
      <t xml:space="preserve">년 흐름</t>
    </r>
  </si>
  <si>
    <t xml:space="preserve">PHASE_REVIEW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</si>
  <si>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단계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</si>
  <si>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연말 — 다시 보기</t>
    </r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</si>
  <si>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 역행</t>
    </r>
  </si>
  <si>
    <t xml:space="preserve">PHASE_PREP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</si>
  <si>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정하지 말고 준비</t>
    </r>
  </si>
  <si>
    <t xml:space="preserve">PHASE_TRIGGER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</si>
  <si>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제안과 계기</t>
    </r>
  </si>
  <si>
    <t xml:space="preserve">PHASE_SETTLE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</si>
  <si>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말부터 — 정하고 자리 잡기</t>
    </r>
  </si>
  <si>
    <t xml:space="preserve">목성 진입</t>
  </si>
  <si>
    <t xml:space="preserve">PHASE_TIDY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</si>
  <si>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정리</t>
    </r>
  </si>
  <si>
    <t xml:space="preserve">SAVE_DONE</t>
  </si>
  <si>
    <t xml:space="preserve">저장</t>
  </si>
  <si>
    <r>
      <rPr>
        <sz val="10"/>
        <rFont val="Noto Sans CJK SC"/>
        <family val="2"/>
      </rPr>
      <t xml:space="preserve">저장되었습니다</t>
    </r>
    <r>
      <rPr>
        <sz val="10"/>
        <rFont val="맑은 고딕"/>
        <family val="0"/>
        <charset val="1"/>
      </rPr>
      <t xml:space="preserve">!</t>
    </r>
  </si>
  <si>
    <t xml:space="preserve">FLOW_METHOD_KEEP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</si>
  <si>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첫 문장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</si>
  <si>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년에는 새로 판을 벌이기보다 지금 하는 일을 꾸준히 이어 가는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</si>
  <si>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 화성 역행이나 해왕성 접촉이 있을 때 흐름 문단 앞에 한 번</t>
    </r>
  </si>
  <si>
    <t xml:space="preserve">LOGIN_BIG</t>
  </si>
  <si>
    <t xml:space="preserve">저장 후 로그인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</si>
  <si>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결과를 저장하고 보려면 로그인해 주세요</t>
    </r>
    <r>
      <rPr>
        <sz val="10"/>
        <rFont val="맑은 고딕"/>
        <family val="0"/>
        <charset val="1"/>
      </rPr>
      <t xml:space="preserve">.</t>
    </r>
  </si>
  <si>
    <t xml:space="preserve">LOGIN_SMALL</t>
  </si>
  <si>
    <r>
      <rPr>
        <sz val="10"/>
        <rFont val="Noto Sans CJK SC"/>
        <family val="2"/>
      </rPr>
      <t xml:space="preserve">한 번 로그인하면 결과를 다시 보거나 나중에 태어난 시간을 추가할 수 있어요</t>
    </r>
    <r>
      <rPr>
        <sz val="10"/>
        <rFont val="맑은 고딕"/>
        <family val="0"/>
        <charset val="1"/>
      </rPr>
      <t xml:space="preserve">.</t>
    </r>
  </si>
  <si>
    <t xml:space="preserve">LOGIN_DONE</t>
  </si>
  <si>
    <r>
      <rPr>
        <sz val="10"/>
        <rFont val="Noto Sans CJK SC"/>
        <family val="2"/>
      </rPr>
      <t xml:space="preserve">로그인되었어요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결과가 내 계정에 저장됐어요</t>
    </r>
    <r>
      <rPr>
        <sz val="10"/>
        <rFont val="맑은 고딕"/>
        <family val="0"/>
        <charset val="1"/>
      </rPr>
      <t xml:space="preserve">.</t>
    </r>
  </si>
  <si>
    <t xml:space="preserve">PAY_POPUP</t>
  </si>
  <si>
    <t xml:space="preserve">결제 팝업</t>
  </si>
  <si>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 결제하면 전체 내용을 열람할 수 있어요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 포함 </t>
    </r>
    <r>
      <rPr>
        <sz val="10"/>
        <rFont val="맑은 고딕"/>
        <family val="0"/>
        <charset val="1"/>
      </rPr>
      <t xml:space="preserve">· [1,900</t>
    </r>
    <r>
      <rPr>
        <sz val="10"/>
        <rFont val="Noto Sans CJK SC"/>
        <family val="2"/>
      </rPr>
      <t xml:space="preserve">원 결제하기</t>
    </r>
    <r>
      <rPr>
        <sz val="10"/>
        <rFont val="맑은 고딕"/>
        <family val="0"/>
        <charset val="1"/>
      </rPr>
      <t xml:space="preserve">]</t>
    </r>
  </si>
  <si>
    <t xml:space="preserve">섹션</t>
  </si>
  <si>
    <r>
      <rPr>
        <b val="true"/>
        <sz val="10"/>
        <color rgb="FFFDF6E9"/>
        <rFont val="Noto Sans CJK SC"/>
        <family val="2"/>
      </rPr>
      <t xml:space="preserve">대체 문장</t>
    </r>
    <r>
      <rPr>
        <b val="true"/>
        <sz val="10"/>
        <color rgb="FFFDF6E9"/>
        <rFont val="맑은 고딕"/>
        <family val="0"/>
        <charset val="1"/>
      </rPr>
      <t xml:space="preserve">(4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</si>
  <si>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토큰 설명</t>
  </si>
  <si>
    <t xml:space="preserve">BRIDGE_27_01</t>
  </si>
  <si>
    <t xml:space="preserve">2027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</si>
  <si>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바라던 안정에 손이 가장 잘 닿는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집과 하루의 리듬 가운데 흔들리면 안 되는 것 하나를 정해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잠드는 시간이나 한 주에 한 번 장보는 날처럼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날에도 지킬 수 있는 작은 기준이면 충분해요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자리를 잡으면 해가 바뀌는 동안 무엇이 오더라도 돌아올 곳이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</si>
  <si>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= 2027</t>
    </r>
    <r>
      <rPr>
        <sz val="10"/>
        <rFont val="Noto Sans CJK SC"/>
        <family val="2"/>
      </rPr>
      <t xml:space="preserve">년 흐름에서 판정에 가장 큰 사건을 월과 함께 쓴 </t>
    </r>
    <r>
      <rPr>
        <sz val="10"/>
        <rFont val="맑은 고딕"/>
        <family val="0"/>
        <charset val="1"/>
      </rPr>
      <t xml:space="preserve">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말 목성이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자리로 들어오는</t>
    </r>
    <r>
      <rPr>
        <sz val="10"/>
        <rFont val="맑은 고딕"/>
        <family val="0"/>
        <charset val="1"/>
      </rPr>
      <t xml:space="preserve">)</t>
    </r>
  </si>
  <si>
    <t xml:space="preserve">BRIDGE_27_02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</si>
  <si>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도약을 향해 한 걸음 내딛기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꺼낼 수 있도록 지금 하는 일에서 보여 줄 결과물 하나를 미리 다듬어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포트폴리오 한 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제안서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역할을 적은 메모처럼 손에 잡히는 형태면 더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사람에게 문이 열렸을 때 머뭇거리지 않고 지나갈 수 있습니다</t>
    </r>
    <r>
      <rPr>
        <sz val="10"/>
        <rFont val="맑은 고딕"/>
        <family val="0"/>
        <charset val="1"/>
      </rPr>
      <t xml:space="preserve">.</t>
    </r>
  </si>
  <si>
    <t xml:space="preserve">BRIDGE_27_03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</si>
  <si>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지친 마음과 몸을 돌보는 데 힘을 싣기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일정 사이에 비워 둘 시간을 먼저 정해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 저녁 약속을 비우거나 잠들기 전 한 시간은 화면을 멀리하는 것처럼 작게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습관이 되면 그해의 흐름이 회복 쪽으로 더 깊이 이어집니다</t>
    </r>
    <r>
      <rPr>
        <sz val="10"/>
        <rFont val="맑은 고딕"/>
        <family val="0"/>
        <charset val="1"/>
      </rPr>
      <t xml:space="preserve">.</t>
    </r>
  </si>
  <si>
    <t xml:space="preserve">BRIDGE_27_04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</si>
  <si>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마음을 표현하고 다정함을 나누기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관계에서 내가 편안한 거리와 바라는 모습을 먼저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순간을 짧게 말로 전하거나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서운한 마음을 하루 안에 부드럽게 꺼내 보는 연습부터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방식이 분명해질수록 다가오는 인연도 편안하게 맞을 수 있습니다</t>
    </r>
    <r>
      <rPr>
        <sz val="10"/>
        <rFont val="맑은 고딕"/>
        <family val="0"/>
        <charset val="1"/>
      </rPr>
      <t xml:space="preserve">.</t>
    </r>
  </si>
  <si>
    <t xml:space="preserve">BRIDGE_27_05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</si>
  <si>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 맞는 사람들과 이어지기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조금 더 정성껏 가꿔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연락하지 못한 사람에게 먼저 안부를 건네거나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관심 있는 모임 하나에 이름을 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연 문이 그해의 좋은 인연을 불러들이는 입구가 되어 줍니다</t>
    </r>
    <r>
      <rPr>
        <sz val="10"/>
        <rFont val="맑은 고딕"/>
        <family val="0"/>
        <charset val="1"/>
      </rPr>
      <t xml:space="preserve">.</t>
    </r>
  </si>
  <si>
    <t xml:space="preserve">BRIDGE_27_06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</si>
  <si>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속도를 늦추고 숨을 고르기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꼭 지킬 일을 한 번 나눠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미뤄도 괜찮은 것 하나를 지우고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좋아하는 일을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자리가 있어야 그해에 찾아오는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</si>
  <si>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BRIDGE_27_07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</si>
  <si>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새 루틴을 들이고 자리 잡게 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잠과 식사 시간처럼 기본 리듬부터 조금씩 맞춰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점심 뒤 십 분 걷기처럼 부담 없는 습관 하나를 정해 매일 같은 시간에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루틴이 몸에 붙으면 그해의 흐름이 건강한 생활 쪽으로 자연스럽게 이어집니다</t>
    </r>
    <r>
      <rPr>
        <sz val="10"/>
        <rFont val="맑은 고딕"/>
        <family val="0"/>
        <charset val="1"/>
      </rPr>
      <t xml:space="preserve">.</t>
    </r>
  </si>
  <si>
    <t xml:space="preserve">BRIDGE_27_08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</si>
  <si>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돈을 쓰고 모으는 기준을 정비하기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어디로 돈이 흘러가는지 한 번 살펴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자동이체와 구독 목록을 훑어보고 쓰지 않는 것 하나를 정리하거나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달 생활비 기준을 숫자 하나로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기준이 분명해질수록 그해에 생활의 기반을 넓히는 일이 한결 수월해집니다</t>
    </r>
    <r>
      <rPr>
        <sz val="10"/>
        <rFont val="맑은 고딕"/>
        <family val="0"/>
        <charset val="1"/>
      </rPr>
      <t xml:space="preserve">.</t>
    </r>
  </si>
  <si>
    <t xml:space="preserve">BRIDGE_27_09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</si>
  <si>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그동안 쌓아 온 일을 드러내기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잘 마친 일과 그 결과를 세 줄로 적어 두고 필요할 때 바로 꺼낼 수 있게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기록이 쌓이면 기회가 왔을 때 나를 더 자신 있게 보여 줄 수 있습니다</t>
    </r>
    <r>
      <rPr>
        <sz val="10"/>
        <rFont val="맑은 고딕"/>
        <family val="0"/>
        <charset val="1"/>
      </rPr>
      <t xml:space="preserve">.</t>
    </r>
  </si>
  <si>
    <t xml:space="preserve">BRIDGE_27_10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</si>
  <si>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내 방식대로 일하고 사는 쪽을 골라 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가장 편안했던 순간과 가장 애썼던 순간을 하나씩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쌓이면 그해의 선택을 남의 기준이 아니라 내 기준으로 할 수 있습니다</t>
    </r>
    <r>
      <rPr>
        <sz val="10"/>
        <rFont val="맑은 고딕"/>
        <family val="0"/>
        <charset val="1"/>
      </rPr>
      <t xml:space="preserve">.</t>
    </r>
  </si>
  <si>
    <t xml:space="preserve">BRIDGE_27_11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</si>
  <si>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마음에 두었던 시작을 꺼내기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일을 하나로 좁혀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 보고 싶은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일 가운데 하나를 골라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단계가 정해져 있으면 문이 열렸을 때 가볍게 발을 뗄 수 있습니다</t>
    </r>
    <r>
      <rPr>
        <sz val="10"/>
        <rFont val="맑은 고딕"/>
        <family val="0"/>
        <charset val="1"/>
      </rPr>
      <t xml:space="preserve">.</t>
    </r>
  </si>
  <si>
    <t xml:space="preserve">BRIDGE_5Y_01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</si>
  <si>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</si>
  <si>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앞으로 다섯 해를 안정이라는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생활비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연락처럼 흔들리기 쉬운 것 가운데 하나를 골라 기준을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쌓은 바탕 위에서 맞는 안정은 쉽게 흔들리지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</si>
  <si>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 = </t>
    </r>
    <r>
      <rPr>
        <sz val="10"/>
        <rFont val="Noto Sans CJK SC"/>
        <family val="2"/>
      </rPr>
      <t xml:space="preserve">첫 활짝 열리는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없으면 지원도가 가장 높은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2029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</si>
  <si>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BRIDGE_5Y_02</t>
  </si>
  <si>
    <r>
      <rPr>
        <sz val="10"/>
        <rFont val="Noto Sans CJK SC"/>
        <family val="2"/>
      </rPr>
      <t xml:space="preserve">앞으로 다섯 해 가운데 도약이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실력과 결과물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모아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보여 줄 수 있는 결과물을 하나씩 남겨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문이 열리는 해에 꺼낼 것이 많을수록 더 멀리 뛸 수 있습니다</t>
    </r>
    <r>
      <rPr>
        <sz val="10"/>
        <rFont val="맑은 고딕"/>
        <family val="0"/>
        <charset val="1"/>
      </rPr>
      <t xml:space="preserve">.</t>
    </r>
  </si>
  <si>
    <t xml:space="preserve">BRIDGE_5Y_03</t>
  </si>
  <si>
    <r>
      <rPr>
        <sz val="10"/>
        <rFont val="Noto Sans CJK SC"/>
        <family val="2"/>
      </rPr>
      <t xml:space="preserve">앞으로 다섯 해를 회복이라는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크게 쉬기보다 쉼을 매일의 습관으로 만드는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시간과 쉬는 요일처럼 지킬 수 있는 리듬 하나를 정해 해마다 조금씩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둔 쉼의 습관이 그해의 회복을 더 깊고 오래가게 해 줍니다</t>
    </r>
    <r>
      <rPr>
        <sz val="10"/>
        <rFont val="맑은 고딕"/>
        <family val="0"/>
        <charset val="1"/>
      </rPr>
      <t xml:space="preserve">.</t>
    </r>
  </si>
  <si>
    <t xml:space="preserve">BRIDGE_5Y_04</t>
  </si>
  <si>
    <r>
      <rPr>
        <sz val="10"/>
        <rFont val="Noto Sans CJK SC"/>
        <family val="2"/>
      </rPr>
      <t xml:space="preserve">앞으로 다섯 해 가운데 사랑이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나를 아끼는 방법과 관계에서 바라는 것을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말로 전하는 연습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마음을 부드럽게 꺼내는 연습을 작게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마음은 다가오는 인연을 더 편안하게 맞이합니다</t>
    </r>
    <r>
      <rPr>
        <sz val="10"/>
        <rFont val="맑은 고딕"/>
        <family val="0"/>
        <charset val="1"/>
      </rPr>
      <t xml:space="preserve">.</t>
    </r>
  </si>
  <si>
    <t xml:space="preserve">BRIDGE_5Y_05</t>
  </si>
  <si>
    <r>
      <rPr>
        <sz val="10"/>
        <rFont val="Noto Sans CJK SC"/>
        <family val="2"/>
      </rPr>
      <t xml:space="preserve">앞으로 다섯 해를 좋은 사람들이라는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마음 맞는 사람들과 가장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지금 곁에 있는 관계를 가꾸고 내가 편안한 사람의 모습을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새 모임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다시 연락할 사람 하나를 정해 문을 조금씩 열어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가꿔 온 관계가 좋은 인연이 머물 자리가 되어 줍니다</t>
    </r>
    <r>
      <rPr>
        <sz val="10"/>
        <rFont val="맑은 고딕"/>
        <family val="0"/>
        <charset val="1"/>
      </rPr>
      <t xml:space="preserve">.</t>
    </r>
  </si>
  <si>
    <t xml:space="preserve">BRIDGE_5Y_06</t>
  </si>
  <si>
    <r>
      <rPr>
        <sz val="10"/>
        <rFont val="Noto Sans CJK SC"/>
        <family val="2"/>
      </rPr>
      <t xml:space="preserve">앞으로 다섯 해 가운데 여유가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덜어 낼 것과 지킬 것을 하나씩 가려내는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그만둘 일 하나와 새로 즐길 일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덜어 낸 자리가 넉넉할수록 그해의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</si>
  <si>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BRIDGE_5Y_07</t>
  </si>
  <si>
    <r>
      <rPr>
        <sz val="10"/>
        <rFont val="Noto Sans CJK SC"/>
        <family val="2"/>
      </rPr>
      <t xml:space="preserve">앞으로 다섯 해를 건강한 생활이라는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리듬이 가장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부담 없는 습관을 하나씩 몸에 붙여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해는 식사처럼 해마다 다듬을 리듬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붙인 습관일수록 그해에 더 오래 남습니다</t>
    </r>
    <r>
      <rPr>
        <sz val="10"/>
        <rFont val="맑은 고딕"/>
        <family val="0"/>
        <charset val="1"/>
      </rPr>
      <t xml:space="preserve">.</t>
    </r>
  </si>
  <si>
    <t xml:space="preserve">BRIDGE_5Y_08</t>
  </si>
  <si>
    <r>
      <rPr>
        <sz val="10"/>
        <rFont val="Noto Sans CJK SC"/>
        <family val="2"/>
      </rPr>
      <t xml:space="preserve">앞으로 다섯 해를 경제적 여유라는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생활의 기반을 넓히기가 가장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돈을 쓰고 모으는 나만의 기준을 세워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매달 지출 흐름을 한 번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정리할 고정비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기준이 쌓일수록 그해에 기반을 넓히는 선택이 한결 가벼워집니다</t>
    </r>
    <r>
      <rPr>
        <sz val="10"/>
        <rFont val="맑은 고딕"/>
        <family val="0"/>
        <charset val="1"/>
      </rPr>
      <t xml:space="preserve">.</t>
    </r>
  </si>
  <si>
    <t xml:space="preserve">BRIDGE_5Y_09</t>
  </si>
  <si>
    <r>
      <rPr>
        <sz val="10"/>
        <rFont val="Noto Sans CJK SC"/>
        <family val="2"/>
      </rPr>
      <t xml:space="preserve">앞으로 다섯 해 가운데 인정이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실력을 쌓고 해낸 일을 기록해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내가 해낸 일 세 가지를 골라 한 페이지로 정리해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쌓인 기록이 기회가 왔을 때 나를 대신 말해 줍니다</t>
    </r>
    <r>
      <rPr>
        <sz val="10"/>
        <rFont val="맑은 고딕"/>
        <family val="0"/>
        <charset val="1"/>
      </rPr>
      <t xml:space="preserve">.</t>
    </r>
  </si>
  <si>
    <t xml:space="preserve">BRIDGE_5Y_10</t>
  </si>
  <si>
    <r>
      <rPr>
        <sz val="10"/>
        <rFont val="Noto Sans CJK SC"/>
        <family val="2"/>
      </rPr>
      <t xml:space="preserve">앞으로 다섯 해를 나다움이라는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내 기준으로 고르는 작은 선택을 쌓아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남의 기대 대신 내 마음을 따라 고른 일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쌓인 선택이 그해에 나다운 길을 고를 힘이 됩니다</t>
    </r>
    <r>
      <rPr>
        <sz val="10"/>
        <rFont val="맑은 고딕"/>
        <family val="0"/>
        <charset val="1"/>
      </rPr>
      <t xml:space="preserve">.</t>
    </r>
  </si>
  <si>
    <t xml:space="preserve">BRIDGE_5Y_11</t>
  </si>
  <si>
    <r>
      <rPr>
        <sz val="10"/>
        <rFont val="Noto Sans CJK SC"/>
        <family val="2"/>
      </rPr>
      <t xml:space="preserve">앞으로 다섯 해 가운데 새로운 시작이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시작하고 싶은 일을 좁히고 필요한 준비를 갖추는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배움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시도 하나를 정해 미리 발을 담가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준비해 둔 만큼 그해의 첫걸음이 가볍고 오래갑니다</t>
    </r>
    <r>
      <rPr>
        <sz val="10"/>
        <rFont val="맑은 고딕"/>
        <family val="0"/>
        <charset val="1"/>
      </rPr>
      <t xml:space="preserve">.</t>
    </r>
  </si>
  <si>
    <t xml:space="preserve">분류</t>
  </si>
  <si>
    <r>
      <rPr>
        <b val="true"/>
        <sz val="10"/>
        <color rgb="FFFDF6E9"/>
        <rFont val="Noto Sans CJK SC"/>
        <family val="2"/>
      </rPr>
      <t xml:space="preserve">패턴</t>
    </r>
    <r>
      <rPr>
        <b val="true"/>
        <sz val="10"/>
        <color rgb="FFFDF6E9"/>
        <rFont val="맑은 고딕"/>
        <family val="0"/>
        <charset val="1"/>
      </rPr>
      <t xml:space="preserve">(re:=</t>
    </r>
    <r>
      <rPr>
        <b val="true"/>
        <sz val="10"/>
        <color rgb="FFFDF6E9"/>
        <rFont val="Noto Sans CJK SC"/>
        <family val="2"/>
      </rPr>
      <t xml:space="preserve">정규식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</si>
  <si>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대체 제안</t>
  </si>
  <si>
    <t xml:space="preserve">적용 범위</t>
  </si>
  <si>
    <t xml:space="preserve">심각도</t>
  </si>
  <si>
    <t xml:space="preserve">메모</t>
  </si>
  <si>
    <t xml:space="preserve">BAN_001</t>
  </si>
  <si>
    <t xml:space="preserve">단정</t>
  </si>
  <si>
    <t xml:space="preserve">반드시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</si>
  <si>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해 볼 만한</t>
    </r>
  </si>
  <si>
    <t xml:space="preserve">DB+AI</t>
  </si>
  <si>
    <t xml:space="preserve">실패</t>
  </si>
  <si>
    <t xml:space="preserve">예측 단정</t>
  </si>
  <si>
    <t xml:space="preserve">BAN_002</t>
  </si>
  <si>
    <t xml:space="preserve">확실히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</si>
  <si>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수 있어요</t>
    </r>
  </si>
  <si>
    <t xml:space="preserve">BAN_003</t>
  </si>
  <si>
    <t xml:space="preserve">무조건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</si>
  <si>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쉬워요</t>
    </r>
  </si>
  <si>
    <t xml:space="preserve">BAN_004</t>
  </si>
  <si>
    <t xml:space="preserve">운명</t>
  </si>
  <si>
    <t xml:space="preserve">흐름</t>
  </si>
  <si>
    <r>
      <rPr>
        <sz val="10"/>
        <rFont val="Noto Sans CJK SC"/>
        <family val="2"/>
      </rPr>
      <t xml:space="preserve">운명적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운명처럼 포함</t>
    </r>
  </si>
  <si>
    <t xml:space="preserve">BAN_005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</si>
  <si>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게 됩니다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</si>
  <si>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시기예요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할 수 있어요</t>
    </r>
  </si>
  <si>
    <r>
      <rPr>
        <sz val="10"/>
        <rFont val="맑은 고딕"/>
        <family val="0"/>
        <charset val="1"/>
      </rPr>
      <t xml:space="preserve">GUIDE 4: </t>
    </r>
    <r>
      <rPr>
        <sz val="10"/>
        <rFont val="Noto Sans CJK SC"/>
        <family val="2"/>
      </rPr>
      <t xml:space="preserve">예측 단정 어미</t>
    </r>
  </si>
  <si>
    <t xml:space="preserve">BAN_006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</si>
  <si>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게 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것입니다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겁니다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거예요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</si>
  <si>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할 수 있어요</t>
    </r>
  </si>
  <si>
    <t xml:space="preserve">경고</t>
  </si>
  <si>
    <t xml:space="preserve">미래 단정 — 문맥 확인</t>
  </si>
  <si>
    <t xml:space="preserve">BAN_007</t>
  </si>
  <si>
    <t xml:space="preserve">틀림없이</t>
  </si>
  <si>
    <t xml:space="preserve">BAN_008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</si>
  <si>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퍼센트</t>
    </r>
  </si>
  <si>
    <t xml:space="preserve">BAN_009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</si>
  <si>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 잘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될 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</si>
  <si>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근거를 든 희망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 나아지는지</t>
    </r>
    <r>
      <rPr>
        <sz val="10"/>
        <rFont val="맑은 고딕"/>
        <family val="0"/>
        <charset val="1"/>
      </rPr>
      <t xml:space="preserve">)</t>
    </r>
  </si>
  <si>
    <t xml:space="preserve">근거 없는 위로</t>
  </si>
  <si>
    <t xml:space="preserve">BAN_010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</si>
  <si>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모든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모두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것이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잘</t>
    </r>
    <r>
      <rPr>
        <sz val="10"/>
        <rFont val="맑은 고딕"/>
        <family val="0"/>
        <charset val="1"/>
      </rPr>
      <t xml:space="preserve">\s?(</t>
    </r>
    <r>
      <rPr>
        <sz val="10"/>
        <rFont val="Noto Sans CJK SC"/>
        <family val="2"/>
      </rPr>
      <t xml:space="preserve">풀릴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될</t>
    </r>
    <r>
      <rPr>
        <sz val="10"/>
        <rFont val="맑은 고딕"/>
        <family val="0"/>
        <charset val="1"/>
      </rPr>
      <t xml:space="preserve">)</t>
    </r>
  </si>
  <si>
    <t xml:space="preserve">근거를 든 희망 문장</t>
  </si>
  <si>
    <t xml:space="preserve">BAN_011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</si>
  <si>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좋은 일만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있을</t>
    </r>
    <r>
      <rPr>
        <sz val="10"/>
        <rFont val="맑은 고딕"/>
        <family val="0"/>
        <charset val="1"/>
      </rPr>
      <t xml:space="preserve">)</t>
    </r>
  </si>
  <si>
    <t xml:space="preserve">BAN_012</t>
  </si>
  <si>
    <t xml:space="preserve">걱정하지 마세요</t>
  </si>
  <si>
    <t xml:space="preserve">지금 할 수 있는 것을 제안</t>
  </si>
  <si>
    <t xml:space="preserve">근거 없는 위로가 되기 쉬움</t>
  </si>
  <si>
    <t xml:space="preserve">BAN_013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</si>
  <si>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찾아</t>
    </r>
    <r>
      <rPr>
        <sz val="10"/>
        <rFont val="맑은 고딕"/>
        <family val="0"/>
        <charset val="1"/>
      </rPr>
      <t xml:space="preserve">)</t>
    </r>
  </si>
  <si>
    <t xml:space="preserve">만남 예측</t>
  </si>
  <si>
    <t xml:space="preserve">BAN_014</t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</si>
  <si>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불운</t>
    </r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</si>
  <si>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크게 잃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</si>
  <si>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돌아볼 만한 때</t>
    </r>
  </si>
  <si>
    <t xml:space="preserve">공포 표현</t>
  </si>
  <si>
    <t xml:space="preserve">BAN_015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</si>
  <si>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불운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액운</t>
    </r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</si>
  <si>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긴장하는 흐름</t>
    </r>
  </si>
  <si>
    <t xml:space="preserve">BAN_016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</si>
  <si>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액막이</t>
    </r>
  </si>
  <si>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액막이 상품 암시 금지</t>
    </r>
  </si>
  <si>
    <t xml:space="preserve">BAN_017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</si>
  <si>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흐름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</si>
  <si>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긴장하는 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무게가 실리는 때</t>
    </r>
  </si>
  <si>
    <t xml:space="preserve">BAN_018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</si>
  <si>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하니</t>
    </r>
    <r>
      <rPr>
        <sz val="10"/>
        <rFont val="맑은 고딕"/>
        <family val="0"/>
        <charset val="1"/>
      </rPr>
      <t xml:space="preserve">)</t>
    </r>
  </si>
  <si>
    <t xml:space="preserve">구체적 행동 제안으로</t>
  </si>
  <si>
    <t xml:space="preserve">BAN_019</t>
  </si>
  <si>
    <t xml:space="preserve">최악</t>
  </si>
  <si>
    <t xml:space="preserve">BAN_020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</si>
  <si>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저주</t>
    </r>
  </si>
  <si>
    <t xml:space="preserve">BAN_021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</si>
  <si>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시기</t>
    </r>
    <r>
      <rPr>
        <sz val="10"/>
        <rFont val="맑은 고딕"/>
        <family val="0"/>
        <charset val="1"/>
      </rPr>
      <t xml:space="preserve">)</t>
    </r>
  </si>
  <si>
    <t xml:space="preserve">BAN_022</t>
  </si>
  <si>
    <t xml:space="preserve">삼재</t>
  </si>
  <si>
    <t xml:space="preserve">BAN_023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</si>
  <si>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운이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없</t>
    </r>
    <r>
      <rPr>
        <sz val="10"/>
        <rFont val="맑은 고딕"/>
        <family val="0"/>
        <charset val="1"/>
      </rPr>
      <t xml:space="preserve">)</t>
    </r>
  </si>
  <si>
    <t xml:space="preserve">BAN_024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</si>
  <si>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큰일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)? </t>
    </r>
    <r>
      <rPr>
        <sz val="10"/>
        <rFont val="Noto Sans CJK SC"/>
        <family val="2"/>
      </rPr>
      <t xml:space="preserve">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큰일 나요</t>
    </r>
  </si>
  <si>
    <t xml:space="preserve">BAN_025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</si>
  <si>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조심하지 않으면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</si>
  <si>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해 두면 좋아요</t>
    </r>
  </si>
  <si>
    <t xml:space="preserve">공포 조건문</t>
  </si>
  <si>
    <t xml:space="preserve">BAN_026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</si>
  <si>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조심하세요</t>
    </r>
    <r>
      <rPr>
        <sz val="10"/>
        <rFont val="맑은 고딕"/>
        <family val="0"/>
        <charset val="1"/>
      </rPr>
      <t xml:space="preserve">[.!]?\s*$</t>
    </r>
  </si>
  <si>
    <t xml:space="preserve">구체적 행동 제안으로 끝내기</t>
  </si>
  <si>
    <r>
      <rPr>
        <sz val="10"/>
        <rFont val="맑은 고딕"/>
        <family val="0"/>
        <charset val="1"/>
      </rPr>
      <t xml:space="preserve">GUIDE 6: </t>
    </r>
    <r>
      <rPr>
        <sz val="10"/>
        <rFont val="Noto Sans CJK SC"/>
        <family val="2"/>
      </rPr>
      <t xml:space="preserve">조심은 행동 제안으로 끝맺기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문단 끝</t>
    </r>
    <r>
      <rPr>
        <sz val="10"/>
        <rFont val="맑은 고딕"/>
        <family val="0"/>
        <charset val="1"/>
      </rPr>
      <t xml:space="preserve">)</t>
    </r>
  </si>
  <si>
    <t xml:space="preserve">BAN_027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</si>
  <si>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업보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카르마</t>
    </r>
  </si>
  <si>
    <t xml:space="preserve">BAN_028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</si>
  <si>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오늘만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한정 특가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놓치면 후회</t>
    </r>
  </si>
  <si>
    <t xml:space="preserve">결제 압박</t>
  </si>
  <si>
    <t xml:space="preserve">BAN_029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</si>
  <si>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마감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임박</t>
    </r>
  </si>
  <si>
    <t xml:space="preserve">BAN_030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</si>
  <si>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바로 </t>
    </r>
    <r>
      <rPr>
        <sz val="10"/>
        <rFont val="맑은 고딕"/>
        <family val="0"/>
        <charset val="1"/>
      </rPr>
      <t xml:space="preserve">)?(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)</t>
    </r>
  </si>
  <si>
    <t xml:space="preserve">BAN_031</t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</si>
  <si>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</si>
  <si>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질병</t>
  </si>
  <si>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휴식</t>
    </r>
  </si>
  <si>
    <t xml:space="preserve">GUIDE 5</t>
  </si>
  <si>
    <t xml:space="preserve">BAN_032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</si>
  <si>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 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 앓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</si>
  <si>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병행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 오탐 방지 위해 활용형만</t>
    </r>
  </si>
  <si>
    <t xml:space="preserve">BAN_033</t>
  </si>
  <si>
    <t xml:space="preserve">병원</t>
  </si>
  <si>
    <t xml:space="preserve">전문가의 도움</t>
  </si>
  <si>
    <t xml:space="preserve">의료 연결 — 문맥 확인</t>
  </si>
  <si>
    <t xml:space="preserve">BAN_034</t>
  </si>
  <si>
    <t xml:space="preserve">수술</t>
  </si>
  <si>
    <t xml:space="preserve">BAN_035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</si>
  <si>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교통사고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</t>
    </r>
    <r>
      <rPr>
        <sz val="10"/>
        <rFont val="맑은 고딕"/>
        <family val="0"/>
        <charset val="1"/>
      </rPr>
      <t xml:space="preserve">)\s?(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조심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휘말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</si>
  <si>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사고방식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</si>
  <si>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BAN_036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</si>
  <si>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사망</t>
    </r>
  </si>
  <si>
    <t xml:space="preserve">BAN_037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</si>
  <si>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을 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 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는다</t>
    </r>
    <r>
      <rPr>
        <sz val="10"/>
        <rFont val="맑은 고딕"/>
        <family val="0"/>
        <charset val="1"/>
      </rPr>
      <t xml:space="preserve">)</t>
    </r>
  </si>
  <si>
    <t xml:space="preserve">BAN_038</t>
  </si>
  <si>
    <t xml:space="preserve">부상</t>
  </si>
  <si>
    <r>
      <rPr>
        <sz val="10"/>
        <rFont val="Noto Sans CJK SC"/>
        <family val="2"/>
      </rPr>
      <t xml:space="preserve">피로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리듬</t>
    </r>
  </si>
  <si>
    <t xml:space="preserve">BAN_039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</si>
  <si>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출산</t>
    </r>
  </si>
  <si>
    <t xml:space="preserve">BAN_040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</si>
  <si>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치료</t>
    </r>
    <r>
      <rPr>
        <sz val="10"/>
        <rFont val="맑은 고딕"/>
        <family val="0"/>
        <charset val="1"/>
      </rPr>
      <t xml:space="preserve">(?!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</si>
  <si>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회복</t>
    </r>
  </si>
  <si>
    <t xml:space="preserve">의료 뉘앙스 — 문맥 확인</t>
  </si>
  <si>
    <t xml:space="preserve">BAN_041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</si>
  <si>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약을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늘</t>
    </r>
    <r>
      <rPr>
        <sz val="10"/>
        <rFont val="맑은 고딕"/>
        <family val="0"/>
        <charset val="1"/>
      </rPr>
      <t xml:space="preserve">)</t>
    </r>
  </si>
  <si>
    <t xml:space="preserve">복약 지시 금지</t>
  </si>
  <si>
    <t xml:space="preserve">BAN_042</t>
  </si>
  <si>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꼬리표</t>
    </r>
  </si>
  <si>
    <t xml:space="preserve">우울증</t>
  </si>
  <si>
    <t xml:space="preserve">마음이 무거운 때</t>
  </si>
  <si>
    <t xml:space="preserve">BAN_043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</si>
  <si>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공황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성격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섭식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수면</t>
    </r>
    <r>
      <rPr>
        <sz val="10"/>
        <rFont val="맑은 고딕"/>
        <family val="0"/>
        <charset val="1"/>
      </rPr>
      <t xml:space="preserve">)\s?</t>
    </r>
    <r>
      <rPr>
        <sz val="10"/>
        <rFont val="Noto Sans CJK SC"/>
        <family val="2"/>
      </rPr>
      <t xml:space="preserve">장애</t>
    </r>
  </si>
  <si>
    <t xml:space="preserve">BAN_044</t>
  </si>
  <si>
    <t xml:space="preserve">ADHD</t>
  </si>
  <si>
    <t xml:space="preserve">BAN_045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</si>
  <si>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양극성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강박증</t>
    </r>
  </si>
  <si>
    <t xml:space="preserve">BAN_046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</si>
  <si>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회피형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안정형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혼란형</t>
    </r>
  </si>
  <si>
    <r>
      <rPr>
        <sz val="10"/>
        <rFont val="Noto Sans CJK SC"/>
        <family val="2"/>
      </rPr>
      <t xml:space="preserve">방식 이름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맞춰주기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조율하기</t>
    </r>
    <r>
      <rPr>
        <sz val="10"/>
        <rFont val="맑은 고딕"/>
        <family val="0"/>
        <charset val="1"/>
      </rPr>
      <t xml:space="preserve">)</t>
    </r>
  </si>
  <si>
    <t xml:space="preserve">애착 유형 꼬리표</t>
  </si>
  <si>
    <t xml:space="preserve">BAN_047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</si>
  <si>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나르시시스트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소시오패스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사이코패스</t>
    </r>
  </si>
  <si>
    <t xml:space="preserve">BAN_048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</si>
  <si>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트라우마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번아웃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가스라이팅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애정결핍</t>
    </r>
  </si>
  <si>
    <t xml:space="preserve">쉬운 말로 상태 묘사</t>
  </si>
  <si>
    <t xml:space="preserve">꼬리표화 위험 — 문맥 확인</t>
  </si>
  <si>
    <t xml:space="preserve">BAN_049</t>
  </si>
  <si>
    <r>
      <rPr>
        <sz val="10"/>
        <rFont val="Noto Sans CJK SC"/>
        <family val="2"/>
      </rPr>
      <t xml:space="preserve">이론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학자명</t>
    </r>
  </si>
  <si>
    <t xml:space="preserve">re:(?&lt;![A-Za-z])(ACT|REBT|CBT|EFT|DBT|IPT|MBCT)(?![A-Za-z])</t>
  </si>
  <si>
    <t xml:space="preserve">기제를 쉬운 말로</t>
  </si>
  <si>
    <r>
      <rPr>
        <sz val="10"/>
        <rFont val="Noto Sans CJK SC"/>
        <family val="2"/>
      </rPr>
      <t xml:space="preserve">이론명 </t>
    </r>
    <r>
      <rPr>
        <sz val="10"/>
        <rFont val="맑은 고딕"/>
        <family val="0"/>
        <charset val="1"/>
      </rPr>
      <t xml:space="preserve">(theory </t>
    </r>
    <r>
      <rPr>
        <sz val="10"/>
        <rFont val="Noto Sans CJK SC"/>
        <family val="2"/>
      </rPr>
      <t xml:space="preserve">칸 제외</t>
    </r>
    <r>
      <rPr>
        <sz val="10"/>
        <rFont val="맑은 고딕"/>
        <family val="0"/>
        <charset val="1"/>
      </rPr>
      <t xml:space="preserve">)</t>
    </r>
  </si>
  <si>
    <t xml:space="preserve">BAN_050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</si>
  <si>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</si>
  <si>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</si>
  <si>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대인관계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</si>
  <si>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BAN_052</t>
  </si>
  <si>
    <t xml:space="preserve">긍정심리</t>
  </si>
  <si>
    <t xml:space="preserve">BAN_053</t>
  </si>
  <si>
    <r>
      <rPr>
        <sz val="10"/>
        <rFont val="맑은 고딕"/>
        <family val="0"/>
        <charset val="1"/>
      </rPr>
      <t xml:space="preserve">re:(?&lt;![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  <r>
      <rPr>
        <sz val="10"/>
        <rFont val="Noto Sans CJK SC"/>
        <family val="2"/>
      </rPr>
      <t xml:space="preserve">융</t>
    </r>
    <r>
      <rPr>
        <sz val="10"/>
        <rFont val="맑은 고딕"/>
        <family val="0"/>
        <charset val="1"/>
      </rPr>
      <t xml:space="preserve">(?: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 따르면</t>
    </r>
    <r>
      <rPr>
        <sz val="10"/>
        <rFont val="맑은 고딕"/>
        <family val="0"/>
        <charset val="1"/>
      </rPr>
      <t xml:space="preserve">)?(?![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</si>
  <si>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융통성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</si>
  <si>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BAN_054</t>
  </si>
  <si>
    <t xml:space="preserve">프로이트</t>
  </si>
  <si>
    <t xml:space="preserve">BAN_055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</si>
  <si>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애착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이론</t>
    </r>
  </si>
  <si>
    <t xml:space="preserve">BAN_056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</si>
  <si>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인지행동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수용전념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게슈탈트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정서중심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변증법적</t>
    </r>
  </si>
  <si>
    <t xml:space="preserve">BAN_057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</si>
  <si>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아들러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매슬로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보울비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가트맨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사티어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에릭슨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로저스</t>
    </r>
  </si>
  <si>
    <t xml:space="preserve">학자명</t>
  </si>
  <si>
    <t xml:space="preserve">BAN_058</t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</si>
  <si>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</t>
    </r>
  </si>
  <si>
    <t xml:space="preserve">투자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</si>
  <si>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마음을 들이다</t>
    </r>
  </si>
  <si>
    <r>
      <rPr>
        <sz val="10"/>
        <rFont val="Noto Sans CJK SC"/>
        <family val="2"/>
      </rPr>
      <t xml:space="preserve">비유적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시간 투자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 검토 — 매매 뉘앙스면 실패</t>
    </r>
  </si>
  <si>
    <t xml:space="preserve">BAN_059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</si>
  <si>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주식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비트코인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가상화폐</t>
    </r>
  </si>
  <si>
    <t xml:space="preserve">BAN_060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</si>
  <si>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매수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매도</t>
    </r>
  </si>
  <si>
    <t xml:space="preserve">BAN_061</t>
  </si>
  <si>
    <t xml:space="preserve">대박</t>
  </si>
  <si>
    <t xml:space="preserve">BAN_062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</si>
  <si>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로또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복권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일확천금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횡재</t>
    </r>
  </si>
  <si>
    <t xml:space="preserve">BAN_063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</si>
  <si>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재테크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수익률</t>
    </r>
  </si>
  <si>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저축의 리듬</t>
    </r>
  </si>
  <si>
    <t xml:space="preserve">매매 시점 연결이면 실패</t>
  </si>
  <si>
    <t xml:space="preserve">BAN_064</t>
  </si>
  <si>
    <t xml:space="preserve">관계 권유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</si>
  <si>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헤어지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</t>
    </r>
    <r>
      <rPr>
        <sz val="10"/>
        <rFont val="맑은 고딕"/>
        <family val="0"/>
        <charset val="1"/>
      </rPr>
      <t xml:space="preserve">)</t>
    </r>
  </si>
  <si>
    <t xml:space="preserve">이별 권유</t>
  </si>
  <si>
    <t xml:space="preserve">BAN_065</t>
  </si>
  <si>
    <t xml:space="preserve">이혼</t>
  </si>
  <si>
    <t xml:space="preserve">BAN_066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</si>
  <si>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하기 좋은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할 때</t>
    </r>
    <r>
      <rPr>
        <sz val="10"/>
        <rFont val="맑은 고딕"/>
        <family val="0"/>
        <charset val="1"/>
      </rPr>
      <t xml:space="preserve">)</t>
    </r>
  </si>
  <si>
    <t xml:space="preserve">결혼 권유</t>
  </si>
  <si>
    <t xml:space="preserve">BAN_067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</si>
  <si>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고백하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기 좋은 때</t>
    </r>
    <r>
      <rPr>
        <sz val="10"/>
        <rFont val="맑은 고딕"/>
        <family val="0"/>
        <charset val="1"/>
      </rPr>
      <t xml:space="preserve">)</t>
    </r>
  </si>
  <si>
    <t xml:space="preserve">관계의 속도를 내 마음에 맞춰</t>
  </si>
  <si>
    <t xml:space="preserve">만남 권유</t>
  </si>
  <si>
    <t xml:space="preserve">BAN_068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</si>
  <si>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연을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인연을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손절</t>
    </r>
  </si>
  <si>
    <t xml:space="preserve">관계 단절 권유</t>
  </si>
  <si>
    <t xml:space="preserve">BAN_069</t>
  </si>
  <si>
    <t xml:space="preserve">궁합</t>
  </si>
  <si>
    <t xml:space="preserve">BAN_070</t>
  </si>
  <si>
    <t xml:space="preserve">비교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</si>
  <si>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다른 사람들보다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남들보다</t>
    </r>
  </si>
  <si>
    <r>
      <rPr>
        <sz val="10"/>
        <rFont val="맑은 고딕"/>
        <family val="0"/>
        <charset val="1"/>
      </rPr>
      <t xml:space="preserve">GUIDE 13: </t>
    </r>
    <r>
      <rPr>
        <sz val="10"/>
        <rFont val="Noto Sans CJK SC"/>
        <family val="2"/>
      </rPr>
      <t xml:space="preserve">강점일 때만 가볍게</t>
    </r>
  </si>
  <si>
    <t xml:space="preserve">BAN_071</t>
  </si>
  <si>
    <t xml:space="preserve">흔치 않게</t>
  </si>
  <si>
    <t xml:space="preserve">BAN_072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</si>
  <si>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누구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못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약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뒤처</t>
    </r>
    <r>
      <rPr>
        <sz val="10"/>
        <rFont val="맑은 고딕"/>
        <family val="0"/>
        <charset val="1"/>
      </rPr>
      <t xml:space="preserve">)</t>
    </r>
  </si>
  <si>
    <t xml:space="preserve">부정적 비교</t>
  </si>
  <si>
    <t xml:space="preserve">BAN_073</t>
  </si>
  <si>
    <t xml:space="preserve">형식</t>
  </si>
  <si>
    <t xml:space="preserve">**</t>
  </si>
  <si>
    <t xml:space="preserve">• 말머리 또는 평문</t>
  </si>
  <si>
    <t xml:space="preserve">강조 표기 금지</t>
  </si>
  <si>
    <t xml:space="preserve">BAN_074</t>
  </si>
  <si>
    <t xml:space="preserve">re:^\s*\|.*\|\s*$</t>
  </si>
  <si>
    <t xml:space="preserve">마크다운 표 금지</t>
  </si>
  <si>
    <t xml:space="preserve">BAN_075</t>
  </si>
  <si>
    <t xml:space="preserve">re:\d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</si>
  <si>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등 토큰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</si>
  <si>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</si>
  <si>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({{…}}·{…}) </t>
    </r>
    <r>
      <rPr>
        <sz val="10"/>
        <rFont val="Noto Sans CJK SC"/>
        <family val="2"/>
      </rPr>
      <t xml:space="preserve">밖 아라비아 숫자</t>
    </r>
    <r>
      <rPr>
        <sz val="10"/>
        <rFont val="맑은 고딕"/>
        <family val="0"/>
        <charset val="1"/>
      </rPr>
      <t xml:space="preserve">. DB </t>
    </r>
    <r>
      <rPr>
        <sz val="10"/>
        <rFont val="Noto Sans CJK SC"/>
        <family val="2"/>
      </rPr>
      <t xml:space="preserve">문장은 </t>
    </r>
    <r>
      <rPr>
        <sz val="10"/>
        <rFont val="맑은 고딕"/>
        <family val="0"/>
        <charset val="1"/>
      </rPr>
      <t xml:space="preserve">validate_text.py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GUIDE 9 </t>
    </r>
    <r>
      <rPr>
        <sz val="10"/>
        <rFont val="Noto Sans CJK SC"/>
        <family val="2"/>
      </rPr>
      <t xml:space="preserve">규칙으로 따로 검사</t>
    </r>
  </si>
  <si>
    <t xml:space="preserve">BAN_076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</si>
  <si>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\.\s*[^.?!]*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</t>
    </r>
  </si>
  <si>
    <r>
      <rPr>
        <sz val="10"/>
        <rFont val="Noto Sans CJK SC"/>
        <family val="2"/>
      </rPr>
      <t xml:space="preserve">둘째 문장 어미를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입니다로</t>
    </r>
  </si>
  <si>
    <r>
      <rPr>
        <sz val="10"/>
        <rFont val="맑은 고딕"/>
        <family val="0"/>
        <charset val="1"/>
      </rPr>
      <t xml:space="preserve">"~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연속</t>
    </r>
  </si>
  <si>
    <t xml:space="preserve">BAN_077</t>
  </si>
  <si>
    <t xml:space="preserve">운세</t>
  </si>
  <si>
    <r>
      <rPr>
        <sz val="10"/>
        <rFont val="Noto Sans CJK SC"/>
        <family val="2"/>
      </rPr>
      <t xml:space="preserve">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하늘의 흐름</t>
    </r>
  </si>
  <si>
    <t xml:space="preserve">운세가 아니라 성찰 언어로</t>
  </si>
  <si>
    <t xml:space="preserve">BAN_078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</si>
  <si>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점괘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점집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사주</t>
    </r>
  </si>
  <si>
    <t xml:space="preserve">다른 점술 어휘</t>
  </si>
  <si>
    <t xml:space="preserve">BAN_079</t>
  </si>
  <si>
    <t xml:space="preserve">re:[\U0001F300-\U0001FAFF\u2700-\u27BF\u2B50\u2B55]</t>
  </si>
  <si>
    <r>
      <rPr>
        <sz val="10"/>
        <rFont val="Noto Sans CJK SC"/>
        <family val="2"/>
      </rPr>
      <t xml:space="preserve">이모지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별자리 기호 ♈</t>
    </r>
    <r>
      <rPr>
        <sz val="10"/>
        <rFont val="맑은 고딕"/>
        <family val="0"/>
        <charset val="1"/>
      </rPr>
      <t xml:space="preserve">~♓</t>
    </r>
    <r>
      <rPr>
        <sz val="10"/>
        <rFont val="Noto Sans CJK SC"/>
        <family val="2"/>
      </rPr>
      <t xml:space="preserve">는 허용</t>
    </r>
    <r>
      <rPr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</si>
  <si>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</si>
  <si>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</si>
  <si>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W_001</t>
  </si>
  <si>
    <t xml:space="preserve">이벤트 순위 — 트랜짓 행성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</si>
  <si>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근거의 이벤트 순서용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수성은 연말 파트 전용</t>
    </r>
  </si>
  <si>
    <t xml:space="preserve">W_002</t>
  </si>
  <si>
    <t xml:space="preserve">W_003</t>
  </si>
  <si>
    <t xml:space="preserve">W_004</t>
  </si>
  <si>
    <t xml:space="preserve">2.5</t>
  </si>
  <si>
    <t xml:space="preserve">W_005</t>
  </si>
  <si>
    <t xml:space="preserve">W_006</t>
  </si>
  <si>
    <t xml:space="preserve">1.5</t>
  </si>
  <si>
    <t xml:space="preserve">W_007</t>
  </si>
  <si>
    <t xml:space="preserve">W_008</t>
  </si>
  <si>
    <t xml:space="preserve">W_009</t>
  </si>
  <si>
    <t xml:space="preserve">이벤트 순위 — 출생 대상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</si>
  <si>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천정은 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만</t>
    </r>
  </si>
  <si>
    <t xml:space="preserve">W_010</t>
  </si>
  <si>
    <t xml:space="preserve">W_011</t>
  </si>
  <si>
    <t xml:space="preserve">W_012</t>
  </si>
  <si>
    <t xml:space="preserve">W_013</t>
  </si>
  <si>
    <t xml:space="preserve">W_014</t>
  </si>
  <si>
    <t xml:space="preserve">W_015</t>
  </si>
  <si>
    <t xml:space="preserve">W_016</t>
  </si>
  <si>
    <r>
      <rPr>
        <sz val="10"/>
        <rFont val="Noto Sans CJK SC"/>
        <family val="2"/>
      </rPr>
      <t xml:space="preserve">각도 가중치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)</t>
    </r>
  </si>
  <si>
    <t xml:space="preserve">1.0</t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</si>
  <si>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이루어짐 모두 사용</t>
    </r>
  </si>
  <si>
    <t xml:space="preserve">W_017</t>
  </si>
  <si>
    <t xml:space="preserve">0.9</t>
  </si>
  <si>
    <t xml:space="preserve">W_018</t>
  </si>
  <si>
    <t xml:space="preserve">W_019</t>
  </si>
  <si>
    <t xml:space="preserve">0.7</t>
  </si>
  <si>
    <t xml:space="preserve">W_020</t>
  </si>
  <si>
    <t xml:space="preserve">0.5</t>
  </si>
  <si>
    <t xml:space="preserve">W_021</t>
  </si>
  <si>
    <t xml:space="preserve">지속기간 보정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</si>
  <si>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미만</t>
    </r>
  </si>
  <si>
    <t xml:space="preserve">0.8</t>
  </si>
  <si>
    <t xml:space="preserve">W_022</t>
  </si>
  <si>
    <r>
      <rPr>
        <sz val="10"/>
        <rFont val="맑은 고딕"/>
        <family val="0"/>
        <charset val="1"/>
      </rPr>
      <t xml:space="preserve">30~90</t>
    </r>
    <r>
      <rPr>
        <sz val="10"/>
        <rFont val="Noto Sans CJK SC"/>
        <family val="2"/>
      </rPr>
      <t xml:space="preserve">일</t>
    </r>
  </si>
  <si>
    <t xml:space="preserve">W_023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</si>
  <si>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 이상</t>
    </r>
  </si>
  <si>
    <t xml:space="preserve">1.2</t>
  </si>
  <si>
    <t xml:space="preserve">역행으로 여러 번 지나면 한 이벤트로 묶음</t>
  </si>
  <si>
    <t xml:space="preserve">W_024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</si>
  <si>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트랜짓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</si>
  <si>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</si>
  <si>
    <t xml:space="preserve">2°</t>
  </si>
  <si>
    <t xml:space="preserve">W_025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</si>
  <si>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</si>
  <si>
    <t xml:space="preserve">1.5°</t>
  </si>
  <si>
    <t xml:space="preserve">W_026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</si>
  <si>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</si>
  <si>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W_027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</si>
  <si>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</si>
  <si>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1°</t>
  </si>
  <si>
    <t xml:space="preserve">엔진 프로토타입에 아직 없음 — 추가 필요</t>
  </si>
  <si>
    <t xml:space="preserve">W_028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</si>
  <si>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출생 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)</t>
    </r>
  </si>
  <si>
    <t xml:space="preserve">전체</t>
  </si>
  <si>
    <t xml:space="preserve">6°</t>
  </si>
  <si>
    <t xml:space="preserve">가까울수록 크게</t>
  </si>
  <si>
    <t xml:space="preserve">W_029</t>
  </si>
  <si>
    <t xml:space="preserve">고민 영역 가산</t>
  </si>
  <si>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영역의 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행성을 건드리면</t>
    </r>
  </si>
  <si>
    <t xml:space="preserve">×1.5</t>
  </si>
  <si>
    <r>
      <rPr>
        <sz val="10"/>
        <rFont val="맑은 고딕"/>
        <family val="0"/>
        <charset val="1"/>
      </rPr>
      <t xml:space="preserve">B8 houses·planets </t>
    </r>
    <r>
      <rPr>
        <sz val="10"/>
        <rFont val="Noto Sans CJK SC"/>
        <family val="2"/>
      </rPr>
      <t xml:space="preserve">기준</t>
    </r>
  </si>
  <si>
    <t xml:space="preserve">W_030</t>
  </si>
  <si>
    <t xml:space="preserve">상위 이벤트 수</t>
  </si>
  <si>
    <t xml:space="preserve">연말</t>
  </si>
  <si>
    <t xml:space="preserve">W_031</t>
  </si>
  <si>
    <t xml:space="preserve">W_032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</si>
  <si>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맑은 고딕"/>
        <family val="0"/>
        <charset val="1"/>
      </rPr>
      <t xml:space="preserve">)</t>
    </r>
  </si>
  <si>
    <t xml:space="preserve">1~2</t>
  </si>
  <si>
    <t xml:space="preserve">W_033</t>
  </si>
  <si>
    <r>
      <rPr>
        <sz val="10"/>
        <rFont val="Noto Sans CJK SC"/>
        <family val="2"/>
      </rPr>
      <t xml:space="preserve">바람 자리</t>
    </r>
    <r>
      <rPr>
        <sz val="10"/>
        <rFont val="맑은 고딕"/>
        <family val="0"/>
        <charset val="1"/>
      </rPr>
      <t xml:space="preserve">(significator)</t>
    </r>
  </si>
  <si>
    <r>
      <rPr>
        <sz val="10"/>
        <rFont val="Noto Sans CJK SC"/>
        <family val="2"/>
      </rPr>
      <t xml:space="preserve">하우스 지배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</si>
  <si>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W_034</t>
  </si>
  <si>
    <r>
      <rPr>
        <sz val="10"/>
        <rFont val="Noto Sans CJK SC"/>
        <family val="2"/>
      </rPr>
      <t xml:space="preserve">하우스 안 행성</t>
    </r>
    <r>
      <rPr>
        <sz val="10"/>
        <rFont val="맑은 고딕"/>
        <family val="0"/>
        <charset val="1"/>
      </rPr>
      <t xml:space="preserve">(7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</si>
  <si>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W_035</t>
  </si>
  <si>
    <t xml:space="preserve">주제 행성</t>
  </si>
  <si>
    <t xml:space="preserve">W_036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</si>
  <si>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모든 바람 보조</t>
    </r>
    <r>
      <rPr>
        <sz val="10"/>
        <rFont val="맑은 고딕"/>
        <family val="0"/>
        <charset val="1"/>
      </rPr>
      <t xml:space="preserve">)</t>
    </r>
  </si>
  <si>
    <t xml:space="preserve">0.6</t>
  </si>
  <si>
    <r>
      <rPr>
        <sz val="10"/>
        <rFont val="Noto Sans CJK SC"/>
        <family val="2"/>
      </rPr>
      <t xml:space="preserve">안정은 주제 행성이라 </t>
    </r>
    <r>
      <rPr>
        <sz val="10"/>
        <rFont val="맑은 고딕"/>
        <family val="0"/>
        <charset val="1"/>
      </rPr>
      <t xml:space="preserve">1.0</t>
    </r>
  </si>
  <si>
    <t xml:space="preserve">W_037</t>
  </si>
  <si>
    <t xml:space="preserve">이루어짐</t>
  </si>
  <si>
    <r>
      <rPr>
        <sz val="10"/>
        <rFont val="Noto Sans CJK SC"/>
        <family val="2"/>
      </rPr>
      <t xml:space="preserve">목성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</si>
  <si>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+2</t>
  </si>
  <si>
    <t xml:space="preserve">W_038</t>
  </si>
  <si>
    <r>
      <rPr>
        <sz val="10"/>
        <rFont val="Noto Sans CJK SC"/>
        <family val="2"/>
      </rPr>
      <t xml:space="preserve">목성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</si>
  <si>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+0.5</t>
  </si>
  <si>
    <t xml:space="preserve">W_039</t>
  </si>
  <si>
    <t xml:space="preserve">목성이 바람 하우스 통과</t>
  </si>
  <si>
    <r>
      <rPr>
        <sz val="10"/>
        <rFont val="맑은 고딕"/>
        <family val="0"/>
        <charset val="1"/>
      </rPr>
      <t xml:space="preserve">+3 × </t>
    </r>
    <r>
      <rPr>
        <sz val="10"/>
        <rFont val="Noto Sans CJK SC"/>
        <family val="2"/>
      </rPr>
      <t xml:space="preserve">머문 날 비율</t>
    </r>
  </si>
  <si>
    <t xml:space="preserve">W_040</t>
  </si>
  <si>
    <r>
      <rPr>
        <sz val="10"/>
        <rFont val="Noto Sans CJK SC"/>
        <family val="2"/>
      </rPr>
      <t xml:space="preserve">토성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</si>
  <si>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+1.5</t>
  </si>
  <si>
    <t xml:space="preserve">W_041</t>
  </si>
  <si>
    <r>
      <rPr>
        <sz val="10"/>
        <rFont val="Noto Sans CJK SC"/>
        <family val="2"/>
      </rPr>
      <t xml:space="preserve">토성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</si>
  <si>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r>
      <rPr>
        <sz val="10"/>
        <rFont val="맑은 고딕"/>
        <family val="0"/>
        <charset val="1"/>
      </rPr>
      <t xml:space="preserve">−3 × </t>
    </r>
    <r>
      <rPr>
        <sz val="10"/>
        <rFont val="Noto Sans CJK SC"/>
        <family val="2"/>
      </rPr>
      <t xml:space="preserve">섹트</t>
    </r>
  </si>
  <si>
    <t xml:space="preserve">W_042</t>
  </si>
  <si>
    <t xml:space="preserve">토성이 바람 하우스 통과</t>
  </si>
  <si>
    <r>
      <rPr>
        <sz val="10"/>
        <rFont val="맑은 고딕"/>
        <family val="0"/>
        <charset val="1"/>
      </rPr>
      <t xml:space="preserve">−1.5 × </t>
    </r>
    <r>
      <rPr>
        <sz val="10"/>
        <rFont val="Noto Sans CJK SC"/>
        <family val="2"/>
      </rPr>
      <t xml:space="preserve">비율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섹트</t>
    </r>
  </si>
  <si>
    <t xml:space="preserve">W_043</t>
  </si>
  <si>
    <t xml:space="preserve">같은 각도 두 번째 통과부터</t>
  </si>
  <si>
    <t xml:space="preserve">×0.3</t>
  </si>
  <si>
    <t xml:space="preserve">W_044</t>
  </si>
  <si>
    <r>
      <rPr>
        <sz val="10"/>
        <rFont val="Noto Sans CJK SC"/>
        <family val="2"/>
      </rPr>
      <t xml:space="preserve">프로펙션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그해의 주인 행성이 주체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</si>
  <si>
    <t xml:space="preserve">W_045</t>
  </si>
  <si>
    <t xml:space="preserve">섹트 — 낮 차트 토성</t>
  </si>
  <si>
    <t xml:space="preserve">×0.7</t>
  </si>
  <si>
    <t xml:space="preserve">W_046</t>
  </si>
  <si>
    <t xml:space="preserve">섹트 — 밤 차트 토성</t>
  </si>
  <si>
    <t xml:space="preserve">×1.3</t>
  </si>
  <si>
    <t xml:space="preserve">W_047</t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</si>
  <si>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움직이는 해</t>
    </r>
  </si>
  <si>
    <t xml:space="preserve">+1</t>
  </si>
  <si>
    <t xml:space="preserve">W_048</t>
  </si>
  <si>
    <t xml:space="preserve">제외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</si>
  <si>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해마다 고르게 지남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움직임으로</t>
    </r>
    <r>
      <rPr>
        <sz val="10"/>
        <rFont val="맑은 고딕"/>
        <family val="0"/>
        <charset val="1"/>
      </rPr>
      <t xml:space="preserve">)</t>
    </r>
  </si>
  <si>
    <t xml:space="preserve">W_049</t>
  </si>
  <si>
    <t xml:space="preserve">&lt; 0</t>
  </si>
  <si>
    <r>
      <rPr>
        <sz val="10"/>
        <rFont val="Noto Sans CJK SC"/>
        <family val="2"/>
      </rPr>
      <t xml:space="preserve">모의 출생 </t>
    </r>
    <r>
      <rPr>
        <sz val="10"/>
        <rFont val="맑은 고딕"/>
        <family val="0"/>
        <charset val="1"/>
      </rPr>
      <t xml:space="preserve">700</t>
    </r>
    <r>
      <rPr>
        <sz val="10"/>
        <rFont val="Noto Sans CJK SC"/>
        <family val="2"/>
      </rPr>
      <t xml:space="preserve">명 보정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 하위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모두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근처</t>
    </r>
  </si>
  <si>
    <t xml:space="preserve">W_050</t>
  </si>
  <si>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</si>
  <si>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t xml:space="preserve">W_051</t>
  </si>
  <si>
    <t xml:space="preserve">&gt;= 4</t>
  </si>
  <si>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근처</t>
    </r>
  </si>
  <si>
    <t xml:space="preserve">W_052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</si>
  <si>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</si>
  <si>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지배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프로펙션 제외</t>
    </r>
  </si>
  <si>
    <t xml:space="preserve">문장에 시간 모름을 밝힘</t>
  </si>
  <si>
    <t xml:space="preserve">W_053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</si>
  <si>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 합</t>
    </r>
  </si>
  <si>
    <r>
      <rPr>
        <sz val="10"/>
        <rFont val="Noto Sans CJK SC"/>
        <family val="2"/>
      </rPr>
      <t xml:space="preserve">개인 지점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</si>
  <si>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W_054</t>
  </si>
  <si>
    <r>
      <rPr>
        <sz val="10"/>
        <rFont val="Noto Sans CJK SC"/>
        <family val="2"/>
      </rPr>
      <t xml:space="preserve">외행성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</si>
  <si>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W_055</t>
  </si>
  <si>
    <r>
      <rPr>
        <sz val="10"/>
        <rFont val="Noto Sans CJK SC"/>
        <family val="2"/>
      </rPr>
      <t xml:space="preserve">외행성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</si>
  <si>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0.4</t>
  </si>
  <si>
    <t xml:space="preserve">W_056</t>
  </si>
  <si>
    <t xml:space="preserve">W_057</t>
  </si>
  <si>
    <r>
      <rPr>
        <sz val="10"/>
        <rFont val="Noto Sans CJK SC"/>
        <family val="2"/>
      </rPr>
      <t xml:space="preserve">토성이 각 하우스</t>
    </r>
    <r>
      <rPr>
        <sz val="10"/>
        <rFont val="맑은 고딕"/>
        <family val="0"/>
        <charset val="1"/>
      </rPr>
      <t xml:space="preserve">(1·4·7·10)</t>
    </r>
    <r>
      <rPr>
        <sz val="10"/>
        <rFont val="Noto Sans CJK SC"/>
        <family val="2"/>
      </rPr>
      <t xml:space="preserve">로 이동</t>
    </r>
  </si>
  <si>
    <t xml:space="preserve">W_058</t>
  </si>
  <si>
    <t xml:space="preserve">움직임 표시</t>
  </si>
  <si>
    <t xml:space="preserve">&gt;= 3.2</t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</si>
  <si>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30%</t>
    </r>
  </si>
  <si>
    <t xml:space="preserve">W_059</t>
  </si>
  <si>
    <t xml:space="preserve">&lt;= 1.8</t>
  </si>
  <si>
    <t xml:space="preserve">W_060</t>
  </si>
  <si>
    <t xml:space="preserve">그 사이</t>
  </si>
  <si>
    <t xml:space="preserve">표시 없음</t>
  </si>
  <si>
    <t xml:space="preserve">W_061</t>
  </si>
  <si>
    <t xml:space="preserve">양태 점수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</si>
  <si>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3 · 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2 ·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1 · </t>
    </r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2</t>
    </r>
  </si>
  <si>
    <t xml:space="preserve">W_062</t>
  </si>
  <si>
    <r>
      <rPr>
        <sz val="10"/>
        <rFont val="Noto Sans CJK SC"/>
        <family val="2"/>
      </rPr>
      <t xml:space="preserve">활동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또는 불 최강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고정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변통</t>
    </r>
  </si>
  <si>
    <r>
      <rPr>
        <sz val="10"/>
        <rFont val="맑은 고딕"/>
        <family val="0"/>
        <charset val="1"/>
      </rPr>
      <t xml:space="preserve">B9 </t>
    </r>
    <r>
      <rPr>
        <sz val="10"/>
        <rFont val="Noto Sans CJK SC"/>
        <family val="2"/>
      </rPr>
      <t xml:space="preserve">문장 선택</t>
    </r>
  </si>
  <si>
    <t xml:space="preserve">W_063</t>
  </si>
  <si>
    <t xml:space="preserve">캐릭터 동점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</si>
  <si>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위 백분위 차이</t>
    </r>
  </si>
  <si>
    <r>
      <rPr>
        <sz val="10"/>
        <rFont val="맑은 고딕"/>
        <family val="0"/>
        <charset val="1"/>
      </rPr>
      <t xml:space="preserve">&lt; 3%p → </t>
    </r>
    <r>
      <rPr>
        <sz val="10"/>
        <rFont val="Noto Sans CJK SC"/>
        <family val="2"/>
      </rPr>
      <t xml:space="preserve">확인 화면</t>
    </r>
    <r>
      <rPr>
        <sz val="10"/>
        <rFont val="맑은 고딕"/>
        <family val="0"/>
        <charset val="1"/>
      </rPr>
      <t xml:space="preserve">(B6)</t>
    </r>
  </si>
  <si>
    <t xml:space="preserve">W_064</t>
  </si>
  <si>
    <t xml:space="preserve">원소 동점</t>
  </si>
  <si>
    <t xml:space="preserve">달 원소 → 태양 원소</t>
  </si>
  <si>
    <t xml:space="preserve">W_065</t>
  </si>
  <si>
    <t xml:space="preserve">판정 경계</t>
  </si>
  <si>
    <t xml:space="preserve">경계 표시 — 활짝 열리는 해에 가까움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</si>
  <si>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</si>
  <si>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막는 흐름 유무로 </t>
    </r>
    <r>
      <rPr>
        <sz val="10"/>
        <rFont val="맑은 고딕"/>
        <family val="0"/>
        <charset val="1"/>
      </rPr>
      <t xml:space="preserve">B10 EDGE_UP_CLEAR / EDGE_UP_MIXED</t>
    </r>
  </si>
  <si>
    <t xml:space="preserve">W_066</t>
  </si>
  <si>
    <t xml:space="preserve">경계 표시 — 기반을 다지는 해와 경계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</si>
  <si>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미만</t>
    </r>
  </si>
  <si>
    <t xml:space="preserve">B10 EDGE_MID_LOW</t>
  </si>
  <si>
    <t xml:space="preserve">W_067</t>
  </si>
  <si>
    <t xml:space="preserve">경계 표시 — 내 손에 달린 해와 경계</t>
  </si>
  <si>
    <r>
      <rPr>
        <sz val="10"/>
        <rFont val="Noto Sans CJK SC"/>
        <family val="2"/>
      </rPr>
      <t xml:space="preserve">역풍이면서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미만</t>
    </r>
  </si>
  <si>
    <t xml:space="preserve">B10 EDGE_LOW_HIGH</t>
  </si>
  <si>
    <t xml:space="preserve">W_068</t>
  </si>
  <si>
    <r>
      <rPr>
        <sz val="10"/>
        <rFont val="Noto Sans CJK SC"/>
        <family val="2"/>
      </rPr>
      <t xml:space="preserve">출생 키론 위치 </t>
    </r>
    <r>
      <rPr>
        <sz val="10"/>
        <rFont val="맑은 고딕"/>
        <family val="0"/>
        <charset val="1"/>
      </rPr>
      <t xml:space="preserve">±1.5°. </t>
    </r>
    <r>
      <rPr>
        <sz val="10"/>
        <rFont val="Noto Sans CJK SC"/>
        <family val="2"/>
      </rPr>
      <t xml:space="preserve">키론 위치는 </t>
    </r>
    <r>
      <rPr>
        <sz val="10"/>
        <rFont val="맑은 고딕"/>
        <family val="0"/>
        <charset val="1"/>
      </rPr>
      <t xml:space="preserve">12_</t>
    </r>
    <r>
      <rPr>
        <sz val="10"/>
        <rFont val="Noto Sans CJK SC"/>
        <family val="2"/>
      </rPr>
      <t xml:space="preserve">바람판정</t>
    </r>
    <r>
      <rPr>
        <sz val="10"/>
        <rFont val="맑은 고딕"/>
        <family val="0"/>
        <charset val="1"/>
      </rPr>
      <t xml:space="preserve">v3/chiron_lon_5d.json(</t>
    </r>
    <r>
      <rPr>
        <sz val="10"/>
        <rFont val="Noto Sans CJK SC"/>
        <family val="2"/>
      </rPr>
      <t xml:space="preserve">자체 수치적분 표</t>
    </r>
    <r>
      <rPr>
        <sz val="10"/>
        <rFont val="맑은 고딕"/>
        <family val="0"/>
        <charset val="1"/>
      </rPr>
      <t xml:space="preserve">)</t>
    </r>
  </si>
  <si>
    <t xml:space="preserve">파일</t>
  </si>
  <si>
    <t xml:space="preserve">칸</t>
  </si>
  <si>
    <t xml:space="preserve">고치기 전</t>
  </si>
  <si>
    <t xml:space="preserve">고친 뒤</t>
  </si>
  <si>
    <t xml:space="preserve">이유</t>
  </si>
  <si>
    <t xml:space="preserve">B1b.json</t>
  </si>
  <si>
    <t xml:space="preserve">short_line</t>
  </si>
  <si>
    <r>
      <rPr>
        <sz val="10"/>
        <rFont val="Noto Sans CJK SC"/>
        <family val="2"/>
      </rPr>
      <t xml:space="preserve">스스로 길을 여는 일에 변화의 힘이 실리는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</si>
  <si>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세대 → 사람으로 표현 통일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사용자 요청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</si>
  <si>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시기에 태어난 사람들은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</si>
  <si>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</si>
  <si>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돈과 일상의 감각이 새롭게 바뀌는 흐름을 지닌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</si>
  <si>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</si>
  <si>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</si>
  <si>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</si>
  <si>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</si>
  <si>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</si>
  <si>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</si>
  <si>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모양을 새롭게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</si>
  <si>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</si>
  <si>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</si>
  <si>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표현으로 틀을 깨려는 기운의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</si>
  <si>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</si>
  <si>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</si>
  <si>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방식과 생활 습관을 새롭게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</si>
  <si>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</si>
  <si>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</si>
  <si>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관계의 규칙을 다시 쓰는 기운을 가진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</si>
  <si>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</si>
  <si>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</si>
  <si>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감춰진 것을 들여다보고 바꾸려는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</si>
  <si>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</si>
  <si>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</si>
  <si>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세상과 새로운 생각을 찾아 나서는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</si>
  <si>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</si>
  <si>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</si>
  <si>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오래된 구조를 현실적으로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</si>
  <si>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</si>
  <si>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</si>
  <si>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기술로 새로운 방식을 만드는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</si>
  <si>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</si>
  <si>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</si>
  <si>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상상력으로 경계를 넘나드는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</si>
  <si>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</si>
  <si>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</si>
  <si>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시작에 꿈을 거는 용기의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</si>
  <si>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</si>
  <si>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</si>
  <si>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자연과 감각의 아름다움을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</si>
  <si>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</si>
  <si>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</si>
  <si>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이야기에서 꿈을 키우는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</si>
  <si>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</si>
  <si>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</si>
  <si>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따뜻한 집과 돌봄을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</si>
  <si>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</si>
  <si>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</si>
  <si>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무대와 낭만을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</si>
  <si>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</si>
  <si>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</si>
  <si>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돕고 돌보는 일에서 이상을 찾는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</si>
  <si>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</si>
  <si>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</si>
  <si>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조화로운 관계와 평화를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</si>
  <si>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</si>
  <si>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</si>
  <si>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숨은 진실에 끌리는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</si>
  <si>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</si>
  <si>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</si>
  <si>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의미와 자유를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</si>
  <si>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</si>
  <si>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</si>
  <si>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 속에서 꿈의 모양을 다시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</si>
  <si>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</si>
  <si>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</si>
  <si>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사는 세상을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</si>
  <si>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</si>
  <si>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</si>
  <si>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공감이 깊고 상상력이 풍부한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</si>
  <si>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</si>
  <si>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</si>
  <si>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 서는 힘을 새롭게 다져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</si>
  <si>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</si>
  <si>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</si>
  <si>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가치와 소유의 의미를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</si>
  <si>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</si>
  <si>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</si>
  <si>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</si>
  <si>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</si>
  <si>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</si>
  <si>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가족과 뿌리의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</si>
  <si>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</si>
  <si>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</si>
  <si>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자기표현의 힘을 새롭게 일깨운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</si>
  <si>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</si>
  <si>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</si>
  <si>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생활의 방식을 깊이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</si>
  <si>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</si>
  <si>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</si>
  <si>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공정함의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</si>
  <si>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</si>
  <si>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</si>
  <si>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마주하며 단단해지는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</si>
  <si>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</si>
  <si>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</si>
  <si>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믿음과 세계관을 새로 짓는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</si>
  <si>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</si>
  <si>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</si>
  <si>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사회의 구조가 다시 세워지는 시기의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</si>
  <si>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</si>
  <si>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</si>
  <si>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공동체의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</si>
  <si>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</si>
  <si>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</si>
  <si>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상상의 힘이 깊어지는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</si>
  <si>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</si>
  <si>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</si>
  <si>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t xml:space="preserve">A1.json</t>
  </si>
  <si>
    <t xml:space="preserve">one_liner</t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</si>
  <si>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 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</si>
  <si>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</si>
  <si>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t xml:space="preserve">term_note</t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</si>
  <si>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</si>
  <si>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아끼는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아낌없이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반복이 거슬림</t>
    </r>
  </si>
  <si>
    <r>
      <rPr>
        <sz val="10"/>
        <rFont val="Noto Sans CJK SC"/>
        <family val="2"/>
      </rPr>
      <t xml:space="preserve">경계 없이 스며들며 다른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</si>
  <si>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종류의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모호</t>
    </r>
  </si>
  <si>
    <t xml:space="preserve">A2.json</t>
  </si>
  <si>
    <r>
      <rPr>
        <sz val="10"/>
        <rFont val="Noto Sans CJK SC"/>
        <family val="2"/>
      </rPr>
      <t xml:space="preserve">나를 움직이는 건 손에 잡히는 결과와 오래 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</si>
  <si>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t xml:space="preserve">table_line</t>
  </si>
  <si>
    <r>
      <rPr>
        <sz val="10"/>
        <rFont val="Noto Sans CJK SC"/>
        <family val="2"/>
      </rPr>
      <t xml:space="preserve">나다운 빛을 드러내고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</si>
  <si>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알아봐 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주체가 빠져 주술 호응 어색</t>
    </r>
  </si>
  <si>
    <r>
      <rPr>
        <sz val="10"/>
        <rFont val="Noto Sans CJK SC"/>
        <family val="2"/>
      </rPr>
      <t xml:space="preserve">나를 움직이는 건 ‘조금 더 낫게 할 수 있겠다’는 눈이에요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</si>
  <si>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겠다는 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어색한 결합</t>
    </r>
  </si>
  <si>
    <t xml:space="preserve">A3.json</t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</si>
  <si>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먼저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</si>
  <si>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먼저 효과가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비교 구문</t>
    </r>
    <r>
      <rPr>
        <sz val="10"/>
        <rFont val="맑은 고딕"/>
        <family val="0"/>
        <charset val="1"/>
      </rPr>
      <t xml:space="preserve">(~</t>
    </r>
    <r>
      <rPr>
        <sz val="10"/>
        <rFont val="Noto Sans CJK SC"/>
        <family val="2"/>
      </rPr>
      <t xml:space="preserve">보다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안 맞음</t>
    </r>
  </si>
  <si>
    <r>
      <rPr>
        <sz val="10"/>
        <rFont val="Noto Sans CJK SC"/>
        <family val="2"/>
      </rPr>
      <t xml:space="preserve">마음을 말로 꺼내고 나눌 때 편해지는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</si>
  <si>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편해지는 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동음 반복</t>
    </r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</si>
  <si>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기울어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</si>
  <si>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기울다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쏠리다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뜻이라 의도와 다르게 읽힘</t>
    </r>
  </si>
  <si>
    <t xml:space="preserve">A4.json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</si>
  <si>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관계를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</si>
  <si>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연어</t>
    </r>
  </si>
  <si>
    <t xml:space="preserve">A5.json</t>
  </si>
  <si>
    <t xml:space="preserve">care_tip</t>
  </si>
  <si>
    <r>
      <rPr>
        <sz val="10"/>
        <rFont val="Noto Sans CJK SC"/>
        <family val="2"/>
      </rPr>
      <t xml:space="preserve">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</si>
  <si>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t xml:space="preserve">목적어 누락</t>
  </si>
  <si>
    <t xml:space="preserve">share_line</t>
  </si>
  <si>
    <r>
      <rPr>
        <sz val="10"/>
        <rFont val="Noto Sans CJK SC"/>
        <family val="2"/>
      </rPr>
      <t xml:space="preserve">함께 쉴 둥지를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</si>
  <si>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비버는 둥지가 아니라 집을 지음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소개 문장과도 불일치</t>
    </r>
    <r>
      <rPr>
        <sz val="10"/>
        <rFont val="맑은 고딕"/>
        <family val="0"/>
        <charset val="1"/>
      </rPr>
      <t xml:space="preserve">)</t>
    </r>
  </si>
  <si>
    <t xml:space="preserve">intro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</si>
  <si>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맞춰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</si>
  <si>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곁에 맞춰 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</si>
  <si>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복어는 내 선이 밀려온다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</si>
  <si>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선이 밀려오다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통하지 않음</t>
    </r>
  </si>
  <si>
    <r>
      <rPr>
        <sz val="10"/>
        <rFont val="Noto Sans CJK SC"/>
        <family val="2"/>
      </rPr>
      <t xml:space="preserve">이번 주에는 작은 부탁 하나를 이번엔 어렵다고 다정하게 거절해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</si>
  <si>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반복과 인용 구조가 두 번 읽힘</t>
    </r>
  </si>
  <si>
    <r>
      <rPr>
        <sz val="10"/>
        <rFont val="Noto Sans CJK SC"/>
        <family val="2"/>
      </rPr>
      <t xml:space="preserve">따져 보기 전에 지금 내 마음이 열고 싶은지부터 먼저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</si>
  <si>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부터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</si>
  <si>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why_text</t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</si>
  <si>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먼저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</si>
  <si>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</si>
  <si>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재빠르게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</si>
  <si>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고르는 데 움직이다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</si>
  <si>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</si>
  <si>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붙여 씀</t>
    </r>
  </si>
  <si>
    <r>
      <rPr>
        <sz val="10"/>
        <rFont val="Noto Sans CJK SC"/>
        <family val="2"/>
      </rPr>
      <t xml:space="preserve">개구리는 비가 그치고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</si>
  <si>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개구리는 비 올 때 우는 이미지라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비가 그치고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어색</t>
    </r>
  </si>
  <si>
    <r>
      <rPr>
        <sz val="10"/>
        <rFont val="Noto Sans CJK SC"/>
        <family val="2"/>
      </rPr>
      <t xml:space="preserve">숨을 고르러 갈 때 언제쯤 다시 이야기하자고 돌아올 때를 약속해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</si>
  <si>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언제쯤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하자고 돌아올 때를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구문이 꼬임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</si>
  <si>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어긋난 자리로 돌아가요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</si>
  <si>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어긋난 자리로 돌아가다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모호</t>
    </r>
  </si>
  <si>
    <t xml:space="preserve">A6.json</t>
  </si>
  <si>
    <t xml:space="preserve">when_shaky</t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</si>
  <si>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 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</si>
  <si>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한꺼번에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자연스러움</t>
    </r>
  </si>
  <si>
    <t xml:space="preserve">astro_text</t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</si>
  <si>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읽는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</si>
  <si>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읽는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로 읽어요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</si>
  <si>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해결부터 내밀어 상대가 서운해할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</si>
  <si>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해결을 내밀다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해결책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맞음</t>
    </r>
  </si>
  <si>
    <t xml:space="preserve">A11.json</t>
  </si>
  <si>
    <t xml:space="preserve">common_line</t>
  </si>
  <si>
    <r>
      <rPr>
        <sz val="10"/>
        <rFont val="Noto Sans CJK SC"/>
        <family val="2"/>
      </rPr>
      <t xml:space="preserve">새로운 시작을 책임 있게 세워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</si>
  <si>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시작을 세우다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</si>
  <si>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둘 사이에서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</si>
  <si>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</si>
  <si>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A18.json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</si>
  <si>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떠오르기 시작한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</si>
  <si>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시작한 출발점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의미 중복</t>
    </r>
    <r>
      <rPr>
        <sz val="10"/>
        <rFont val="맑은 고딕"/>
        <family val="0"/>
        <charset val="1"/>
      </rPr>
      <t xml:space="preserve">·"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</si>
  <si>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불기 시작한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</si>
  <si>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</si>
  <si>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나를 보여주는 방식이 서서히 바뀌기 시작한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</si>
  <si>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인용구가 문장 성분 없이 떠 있음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시작한 출발선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</si>
  <si>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처음 돌아오는 첫 번째 토성 리턴의 고비였습니다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</si>
  <si>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처음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첫 번째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</si>
  <si>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두 번째 돌아오는 토성 리턴의 고비였어요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</si>
  <si>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두 번째로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</si>
  <si>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 남짓에 한 번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</si>
  <si>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남짓에 한 번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</si>
  <si>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</si>
  <si>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 뒤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하고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누락</t>
    </r>
  </si>
  <si>
    <t xml:space="preserve">A9.json</t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</si>
  <si>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</si>
  <si>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받아 보세요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불명확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</si>
  <si>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</si>
  <si>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넓히다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결합 어색 </t>
    </r>
    <r>
      <rPr>
        <sz val="10"/>
        <rFont val="맑은 고딕"/>
        <family val="0"/>
        <charset val="1"/>
      </rPr>
      <t xml:space="preserve">/ "</t>
    </r>
    <r>
      <rPr>
        <sz val="10"/>
        <rFont val="Noto Sans CJK SC"/>
        <family val="2"/>
      </rPr>
      <t xml:space="preserve">쓰임새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대상 불명확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</si>
  <si>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동네나 가까운 이동에서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</si>
  <si>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가까운 이동에서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</si>
  <si>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손보거나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</si>
  <si>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)</t>
    </r>
  </si>
  <si>
    <t xml:space="preserve">opportunity</t>
  </si>
  <si>
    <r>
      <rPr>
        <sz val="10"/>
        <rFont val="Noto Sans CJK SC"/>
        <family val="2"/>
      </rPr>
      <t xml:space="preserve">오래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</si>
  <si>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수식 대상 모호</t>
    </r>
  </si>
  <si>
    <r>
      <rPr>
        <sz val="10"/>
        <rFont val="Noto Sans CJK SC"/>
        <family val="2"/>
      </rPr>
      <t xml:space="preserve">좋은 사람들과 모임이 미래 목표를 도와주기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</si>
  <si>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모임이 목표를 도와주다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</si>
  <si>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쌓이고 피로가 쉽게 느껴져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</si>
  <si>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피로가 느껴지다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</si>
  <si>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일을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</si>
  <si>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</si>
  <si>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A8_JS.json</t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</si>
  <si>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갈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</si>
  <si>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끝까지 갈 수 있을까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</si>
  <si>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</si>
  <si>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</si>
  <si>
    <r>
      <rPr>
        <sz val="10"/>
        <rFont val="Noto Sans CJK SC"/>
        <family val="2"/>
      </rPr>
      <t xml:space="preserve">책임의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 가는 신뢰가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</si>
  <si>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</si>
  <si>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확장의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</si>
  <si>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</t>
    </r>
  </si>
  <si>
    <r>
      <rPr>
        <sz val="10"/>
        <rFont val="Noto Sans CJK SC"/>
        <family val="2"/>
      </rPr>
      <t xml:space="preserve">확장의 별이 좋아하는 것과 관계의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</si>
  <si>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갈 관계에 마음을 더 쏟을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</si>
  <si>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</si>
  <si>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좋아하는 것과 관계의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</si>
  <si>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</si>
  <si>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끊겨 읽힘</t>
    </r>
  </si>
  <si>
    <t xml:space="preserve">meaning_line</t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</si>
  <si>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 좋게 너무 많이 하기 쉬워요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</si>
  <si>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너무 많이 하다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어색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</si>
  <si>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뒤끝 없이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</si>
  <si>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뒤끝 없이 남다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주어 없고 단어 오용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</si>
  <si>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지키는 쪽으로 두면 균형이 잡힙니다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</si>
  <si>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지키는 쪽으로 두다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모호</t>
    </r>
  </si>
  <si>
    <t xml:space="preserve">table_past</t>
  </si>
  <si>
    <r>
      <rPr>
        <sz val="10"/>
        <rFont val="Noto Sans CJK SC"/>
        <family val="2"/>
      </rPr>
      <t xml:space="preserve">마음이 무거워 혼자 삭이는 날이 많았고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</si>
  <si>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책임이 실리다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어색한 결합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앞절 단정 과거와 뒷절 추측 불일치</t>
    </r>
  </si>
  <si>
    <t xml:space="preserve">table_future</t>
  </si>
  <si>
    <r>
      <rPr>
        <sz val="10"/>
        <rFont val="Noto Sans CJK SC"/>
        <family val="2"/>
      </rPr>
      <t xml:space="preserve">감정을 혼자 버티지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</si>
  <si>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감정을 버티다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</si>
  <si>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한결 진지하고 어른스러워졌고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엄격해졌을 수 있어요</t>
    </r>
    <r>
      <rPr>
        <sz val="10"/>
        <rFont val="맑은 고딕"/>
        <family val="0"/>
        <charset val="1"/>
      </rPr>
      <t xml:space="preserve">.</t>
    </r>
  </si>
  <si>
    <t xml:space="preserve">앞절 단정 과거와 뒷절 추측 불일치</t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</si>
  <si>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가는 새로운 나의 기반이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</si>
  <si>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기준을 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</si>
  <si>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구조를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 가는 뼈대가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</si>
  <si>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</si>
  <si>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오래 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</si>
  <si>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</si>
  <si>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 가는 안정이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</si>
  <si>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</si>
  <si>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</si>
  <si>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 갈 기반을 만드는 일이 빛나기 쉽습니다</t>
    </r>
    <r>
      <rPr>
        <sz val="10"/>
        <rFont val="맑은 고딕"/>
        <family val="0"/>
        <charset val="1"/>
      </rPr>
      <t xml:space="preserve">.</t>
    </r>
  </si>
  <si>
    <t xml:space="preserve">A15.json</t>
  </si>
  <si>
    <r>
      <rPr>
        <sz val="10"/>
        <rFont val="Noto Sans CJK SC"/>
        <family val="2"/>
      </rPr>
      <t xml:space="preserve">별이 보기에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더 가까운 쪽은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캐릭터를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</si>
  <si>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별이 보기에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의인화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쪽은 어느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빠짐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</si>
  <si>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더 나 같은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</si>
  <si>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더 나 같은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어순 어색</t>
    </r>
  </si>
  <si>
    <r>
      <rPr>
        <sz val="10"/>
        <rFont val="Noto Sans CJK SC"/>
        <family val="2"/>
      </rPr>
      <t xml:space="preserve">이 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</si>
  <si>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일 동안 이용권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수식 어순 어색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상자 문구와 통일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</si>
  <si>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영역은 지금 하늘이 조용한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</si>
  <si>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영역은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때입니다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</si>
  <si>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t xml:space="preserve">A16.json</t>
  </si>
  <si>
    <t xml:space="preserve">detail</t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</si>
  <si>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관계를 편안해하는지 살펴보게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</si>
  <si>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편안해하다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</si>
  <si>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의욕이 생기고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</si>
  <si>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생기고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</si>
  <si>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기준을 돌아보게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</si>
  <si>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불균형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하게 됩니다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</si>
  <si>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살펴보게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</si>
  <si>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하게 돼요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</si>
  <si>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안쪽에서의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</si>
  <si>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안쪽에서의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</si>
  <si>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이 자리는 먼 곳으로의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</si>
  <si>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으로의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</si>
  <si>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돌아보게 돼요</t>
    </r>
    <r>
      <rPr>
        <sz val="10"/>
        <rFont val="맑은 고딕"/>
        <family val="0"/>
        <charset val="1"/>
      </rPr>
      <t xml:space="preserve">.</t>
    </r>
  </si>
  <si>
    <t xml:space="preserve">A8_OUT.json</t>
  </si>
  <si>
    <r>
      <rPr>
        <sz val="10"/>
        <rFont val="Noto Sans CJK SC"/>
        <family val="2"/>
      </rPr>
      <t xml:space="preserve">변화의 별이 나의 중심과 긴장하는 각도에 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</si>
  <si>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각도에 서면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</si>
  <si>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변화의 별이 생각의 별과 긴장하면 생각이 여러 갈래로 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</si>
  <si>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생각이 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</si>
  <si>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긴장하면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열기를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</si>
  <si>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열기를 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</si>
  <si>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상승궁에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모습이 무엇인지 따라가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</si>
  <si>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무엇인지 따라가 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</si>
  <si>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천정에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</si>
  <si>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빠져 의미 모호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</si>
  <si>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누군가나 무언가에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</si>
  <si>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누군가나 무언가에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결합 어색</t>
    </r>
  </si>
  <si>
    <r>
      <rPr>
        <sz val="10"/>
        <rFont val="Noto Sans CJK SC"/>
        <family val="2"/>
      </rPr>
      <t xml:space="preserve">흐릿함의 별이 금성과 긴장하면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지출이 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 모두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</si>
  <si>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지출이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관계와 돈이 선명해지다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</si>
  <si>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흐릿함의 별이 화성과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의미 있는 일 하나에 힘을 모아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</si>
  <si>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의미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</si>
  <si>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t xml:space="preserve">흐릿함의 별이 행동에 긴장을 거는 각도 — 힘이 새는 느낌이 들어요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</si>
  <si>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</si>
  <si>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흐릿함의 별이 화성과 긴장하면 노력이 어디로 새는지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</si>
  <si>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노력이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</si>
  <si>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t xml:space="preserve">keyword</t>
  </si>
  <si>
    <t xml:space="preserve">새는 기운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</si>
  <si>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기운이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</si>
  <si>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깊은 변형의 별이 나의 중심과 긴장하면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</si>
  <si>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기 쉽습니다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수 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연속 반복</t>
    </r>
  </si>
  <si>
    <r>
      <rPr>
        <sz val="10"/>
        <rFont val="Noto Sans CJK SC"/>
        <family val="2"/>
      </rPr>
      <t xml:space="preserve">깊은 변형의 별이 감정의 별과 긴장하면 가까운 사람에게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</si>
  <si>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조사 오류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에게→을</t>
    </r>
    <r>
      <rPr>
        <sz val="10"/>
        <rFont val="맑은 고딕"/>
        <family val="0"/>
        <charset val="1"/>
      </rPr>
      <t xml:space="preserve">);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</si>
  <si>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깊은 변형의 별이 생각의 별에 겹치면 겉말보다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</si>
  <si>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생소한 단어</t>
    </r>
  </si>
  <si>
    <r>
      <rPr>
        <sz val="10"/>
        <rFont val="Noto Sans CJK SC"/>
        <family val="2"/>
      </rPr>
      <t xml:space="preserve">깊은 변형의 별이 금성과 긴장하면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</si>
  <si>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목적어 빠짐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주술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</si>
  <si>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부딪히는 에너지를 바꾸고 싶은 일 하나에 돌려쓰는 때입니다</t>
    </r>
    <r>
      <rPr>
        <sz val="10"/>
        <rFont val="맑은 고딕"/>
        <family val="0"/>
        <charset val="1"/>
      </rPr>
      <t xml:space="preserve">.</t>
    </r>
  </si>
  <si>
    <t xml:space="preserve">띄어쓰기</t>
  </si>
  <si>
    <r>
      <rPr>
        <sz val="10"/>
        <rFont val="Noto Sans CJK SC"/>
        <family val="2"/>
      </rPr>
      <t xml:space="preserve">깊은 변형의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바꾸기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</si>
  <si>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목표를 계획으로 바꾸다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</si>
  <si>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깊은 변형의 별이 상승궁과 긴장하면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</si>
  <si>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리듬이 지치다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기 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</si>
  <si>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감정의 별과 긴장하면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</si>
  <si>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</si>
  <si>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금성과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</si>
  <si>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</si>
  <si>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</si>
  <si>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금성과 긴장하면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</si>
  <si>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</si>
  <si>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</si>
  <si>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</si>
  <si>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</si>
  <si>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상승궁과 긴장하면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</si>
  <si>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</si>
  <si>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천정과 긴장하면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</si>
  <si>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</si>
  <si>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</si>
  <si>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금성과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</si>
  <si>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</si>
  <si>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</si>
  <si>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상승궁에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</si>
  <si>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</si>
  <si>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상승궁과 긴장하면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</si>
  <si>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천정에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</si>
  <si>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</si>
  <si>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천정과 긴장하면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</si>
  <si>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</si>
  <si>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금성에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</si>
  <si>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</si>
  <si>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</si>
  <si>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화성과 긴장하면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</si>
  <si>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상승궁에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</si>
  <si>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</si>
  <si>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천정에 겹치면 커리어가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</si>
  <si>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</si>
  <si>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깊은 변형의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</si>
  <si>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천정과 긴장하면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</si>
  <si>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</si>
  <si>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A12.json</t>
  </si>
  <si>
    <r>
      <rPr>
        <sz val="10"/>
        <rFont val="Noto Sans CJK SC"/>
        <family val="2"/>
      </rPr>
      <t xml:space="preserve">‘버텨’를 고를 만큼 애쓴 한 해였다는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</si>
  <si>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</si>
  <si>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데려왔는지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</si>
  <si>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데려왔다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</si>
  <si>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‘시작’을 고르셨다면 올해 무언가 첫걸음을 뗀 마음이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</si>
  <si>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첫걸음을 뗀 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</si>
  <si>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시작은 첫날보다 이어 가는 날들이 모양을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</si>
  <si>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주어 이중 구조로 호응 어색</t>
  </si>
  <si>
    <t xml:space="preserve">A17b.json</t>
  </si>
  <si>
    <t xml:space="preserve">temperament_line</t>
  </si>
  <si>
    <r>
      <rPr>
        <sz val="10"/>
        <rFont val="Noto Sans CJK SC"/>
        <family val="2"/>
      </rPr>
      <t xml:space="preserve">겉도 속도 감정에 깊이 닿아 있어 남의 기분까지 함께 안기 쉬운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</si>
  <si>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피동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안기다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읽힘</t>
    </r>
  </si>
  <si>
    <t xml:space="preserve">A17a.json</t>
  </si>
  <si>
    <t xml:space="preserve">why_template</t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</si>
  <si>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</si>
  <si>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내려놓을 사람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</si>
  <si>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t xml:space="preserve">headline_q</t>
  </si>
  <si>
    <t xml:space="preserve">사랑 안에서 어떻게 기대고 기대어 줄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</si>
  <si>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기대어 주다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의미가 통하지 않음</t>
    </r>
  </si>
  <si>
    <r>
      <rPr>
        <sz val="10"/>
        <rFont val="Noto Sans CJK SC"/>
        <family val="2"/>
      </rPr>
      <t xml:space="preserve">기대는 일이 어려운 사람에게 좋은 사람들은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</si>
  <si>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사람들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서술어 호응</t>
    </r>
  </si>
  <si>
    <r>
      <rPr>
        <sz val="10"/>
        <rFont val="Noto Sans CJK SC"/>
        <family val="2"/>
      </rPr>
      <t xml:space="preserve">기대기에 에너지가 드는 사람은 부탁하는 수고보다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</si>
  <si>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수고보다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쪽을 택하다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비교 대상 어색</t>
    </r>
  </si>
  <si>
    <t xml:space="preserve">q3</t>
  </si>
  <si>
    <r>
      <rPr>
        <sz val="10"/>
        <rFont val="Noto Sans CJK SC"/>
        <family val="2"/>
      </rPr>
      <t xml:space="preserve">생활 리듬이 흐트러질 때 가볍게 알려 줄 수 있는 사람은 누구인가요</t>
    </r>
    <r>
      <rPr>
        <sz val="10"/>
        <rFont val="맑은 고딕"/>
        <family val="0"/>
        <charset val="1"/>
      </rPr>
      <t xml:space="preserve">?</t>
    </r>
  </si>
  <si>
    <t xml:space="preserve">누가 누구에게 알리는지 모호함</t>
  </si>
  <si>
    <r>
      <rPr>
        <sz val="10"/>
        <rFont val="Noto Sans CJK SC"/>
        <family val="2"/>
      </rPr>
      <t xml:space="preserve">도약이 조금 흔들려도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</si>
  <si>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도약이 흔들리다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</si>
  <si>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믿기에 에너지가 드는 사람은 만일을 대비하느라 여유를 쓸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</si>
  <si>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쓸 자리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</si>
  <si>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어떤 루틴이 마음을 놓이게 하는가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</si>
  <si>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마음을 놓이게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오류</t>
    </r>
  </si>
  <si>
    <r>
      <rPr>
        <sz val="10"/>
        <rFont val="Noto Sans CJK SC"/>
        <family val="2"/>
      </rPr>
      <t xml:space="preserve">비상금이나 고정 지출처럼 마음을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</si>
  <si>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받지 않을지 정하는 것이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</si>
  <si>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받지 않다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만으로는 뜻이 불분명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</si>
  <si>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문이 열리기도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</si>
  <si>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문이 열리다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이중 주어 어색</t>
    </r>
  </si>
  <si>
    <t xml:space="preserve">q1</t>
  </si>
  <si>
    <r>
      <rPr>
        <sz val="10"/>
        <rFont val="Noto Sans CJK SC"/>
        <family val="2"/>
      </rPr>
      <t xml:space="preserve">‘지금은 어려워’라는 말을 꺼내지 않아 일정이 빠듯해졌던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</si>
  <si>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맥락상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못해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자연스럽고 과거 장면 질문 꼴 통일</t>
    </r>
  </si>
  <si>
    <r>
      <rPr>
        <sz val="10"/>
        <rFont val="Noto Sans CJK SC"/>
        <family val="2"/>
      </rPr>
      <t xml:space="preserve">나에게 경제적 여유란 어떤 생활인지 한 문장으로 말한다면 어떻게 표현할까요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</si>
  <si>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말한다면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표현할까요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</si>
  <si>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마음에 남은 앙금을 어떻게 풀어 낼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</si>
  <si>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풀어내다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</si>
  <si>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</si>
  <si>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</si>
  <si>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A10.json</t>
  </si>
  <si>
    <t xml:space="preserve">why_line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</si>
  <si>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따지게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</si>
  <si>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감각을 따지다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</si>
  <si>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</si>
  <si>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가까운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없는 표현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</si>
  <si>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</si>
  <si>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즐거움을 묻다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</si>
  <si>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A13.json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</si>
  <si>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안정에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</si>
  <si>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</si>
  <si>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받침 있는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'2028</t>
    </r>
    <r>
      <rPr>
        <sz val="10"/>
        <rFont val="Noto Sans CJK SC"/>
        <family val="2"/>
      </rPr>
      <t xml:space="preserve">년가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깨짐 → 조사 없는 구조로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</si>
  <si>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도약에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</si>
  <si>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</si>
  <si>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회복에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</si>
  <si>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</si>
  <si>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사랑에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</si>
  <si>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</si>
  <si>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좋은 사람들과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</si>
  <si>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</si>
  <si>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여유에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</si>
  <si>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</si>
  <si>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건강한 생활 리듬에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</si>
  <si>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</si>
  <si>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경제적 여유의 기반에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</si>
  <si>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여유의 기반을 다지기 가장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</si>
  <si>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인정에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</si>
  <si>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</si>
  <si>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나다움에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</si>
  <si>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</si>
  <si>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서두른 도전은 예상보다 더 많은 에너지를 쓰게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</si>
  <si>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서둘러 도전하면 예상보다 많은 에너지가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</si>
  <si>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도전이 에너지를 쓰게 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 사역 표현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</si>
  <si>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속도로 돌아가기보다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</si>
  <si>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</si>
  <si>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돌아오다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돌아가다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올려 주세요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 목적어 빠짐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</si>
  <si>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관계에서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</si>
  <si>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</si>
  <si>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문장 안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</si>
  <si>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</si>
  <si>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의미 어색</t>
    </r>
  </si>
  <si>
    <t xml:space="preserve">사랑을 나누는 마음이 가장 가까워지는 해</t>
  </si>
  <si>
    <t xml:space="preserve">사랑이 가장 가까워지는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</si>
  <si>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사람들과의 연결이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</si>
  <si>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</si>
  <si>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생기는 해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</si>
  <si>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넉넉해지는 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</si>
  <si>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생기는 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 불분명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해가 생긴다로 읽힘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</si>
  <si>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</si>
  <si>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</si>
  <si>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기반이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</si>
  <si>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쪽으로 선택을 옮겨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</si>
  <si>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선택을 옮기다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결합</t>
    </r>
  </si>
  <si>
    <t xml:space="preserve">B1a.json</t>
  </si>
  <si>
    <r>
      <rPr>
        <sz val="10"/>
        <rFont val="Noto Sans CJK SC"/>
        <family val="2"/>
      </rPr>
      <t xml:space="preserve">들은 말의 내용보다 그 말을 하던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</si>
  <si>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하던 표정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수식</t>
    </r>
  </si>
  <si>
    <r>
      <rPr>
        <sz val="10"/>
        <rFont val="Noto Sans CJK SC"/>
        <family val="2"/>
      </rPr>
      <t xml:space="preserve">같은 내용도 내 식대로 맛을 살려 말할 때 사람들의 눈이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</si>
  <si>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눈이 모이다</t>
    </r>
    <r>
      <rPr>
        <sz val="10"/>
        <rFont val="맑은 고딕"/>
        <family val="0"/>
        <charset val="1"/>
      </rPr>
      <t xml:space="preserve">' → '</t>
    </r>
    <r>
      <rPr>
        <sz val="10"/>
        <rFont val="Noto Sans CJK SC"/>
        <family val="2"/>
      </rPr>
      <t xml:space="preserve">시선이 모이다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</si>
  <si>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남들이 지나친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</si>
  <si>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지나친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과도한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으로도 읽혀 모호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</si>
  <si>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</si>
  <si>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불을 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조명에 쓰는 말 — 연어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</si>
  <si>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취미나 작은 물건을 여러 가지 시도해 보는 데서 즐거움을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</si>
  <si>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물건을 시도하다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</si>
  <si>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사람들과 나눌 때 쓰는 보람이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</si>
  <si>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나눌 때 쓰는 보람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구조가 꼬임</t>
    </r>
  </si>
  <si>
    <r>
      <rPr>
        <sz val="10"/>
        <rFont val="Noto Sans CJK SC"/>
        <family val="2"/>
      </rPr>
      <t xml:space="preserve">나 자신만을 위해서보다 아끼는 사람을 위해 움직일 때 의욕이 깊어지는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</si>
  <si>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깊어지다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</si>
  <si>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정확하게 해내고 싶은 마음이 의욕을 움직이는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</si>
  <si>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의욕을 움직이다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</si>
  <si>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터뜨리기보다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</si>
  <si>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타동사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터뜨리다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</si>
  <si>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</si>
  <si>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말하는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</si>
  <si>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먼저 시작하는 용기 속에서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</si>
  <si>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</si>
  <si>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천천히 쌓은 것이 열매가 되며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</si>
  <si>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자라다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</si>
  <si>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배우고 묻고 연결하는 과정에서 기회가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</si>
  <si>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기회가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</si>
  <si>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마음을 나누고 돌보는 자리에서 운이 크게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</si>
  <si>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사람의 빛도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</si>
  <si>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빛을 칭찬하다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</si>
  <si>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작은 일을 정성껏 해내는 과정에서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</si>
  <si>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파고들고 함께 나누는 자리에서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</si>
  <si>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현실적인 목표를 꾸준히 쌓을 때 운이 단단하게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</si>
  <si>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사람들과 새로운 시도를 할 때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</si>
  <si>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마음과 직관을 믿을 때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</si>
  <si>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꾸려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</si>
  <si>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공간에는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꾸리다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꾸미다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</si>
  <si>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이 세대는 먹고 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</si>
  <si>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맞춤법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SC"/>
        <family val="2"/>
      </rPr>
      <t xml:space="preserve">먹고살다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</si>
  <si>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</si>
  <si>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감각으로 느껴지다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</si>
  <si>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공감과 상상력이 깊은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</si>
  <si>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상상력이 깊다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</si>
  <si>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스스로 서는 힘을 깊이 새로 다지는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</si>
  <si>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깊이 새로 다지는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부사 겹침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</si>
  <si>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</si>
  <si>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않아도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</si>
  <si>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연결어미 의미 어색</t>
    </r>
    <r>
      <rPr>
        <sz val="10"/>
        <rFont val="맑은 고딕"/>
        <family val="0"/>
        <charset val="1"/>
      </rPr>
      <t xml:space="preserve">('-</t>
    </r>
    <r>
      <rPr>
        <sz val="10"/>
        <rFont val="Noto Sans CJK SC"/>
        <family val="2"/>
      </rPr>
      <t xml:space="preserve">아도</t>
    </r>
    <r>
      <rPr>
        <sz val="10"/>
        <rFont val="맑은 고딕"/>
        <family val="0"/>
        <charset val="1"/>
      </rPr>
      <t xml:space="preserve">' → '-</t>
    </r>
    <r>
      <rPr>
        <sz val="10"/>
        <rFont val="Noto Sans CJK SC"/>
        <family val="2"/>
      </rPr>
      <t xml:space="preserve">지만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</si>
  <si>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느껴질 수 있어요</t>
    </r>
    <r>
      <rPr>
        <sz val="10"/>
        <rFont val="맑은 고딕"/>
        <family val="0"/>
        <charset val="1"/>
      </rPr>
      <t xml:space="preserve">.</t>
    </r>
  </si>
  <si>
    <t xml:space="preserve">B2a.json</t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</si>
  <si>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동네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형제나 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</si>
  <si>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동네와 말을 주고받다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</si>
  <si>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것에 진지해요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</si>
  <si>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에 진지하다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</si>
  <si>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메시지나 동네 산책 같은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</si>
  <si>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 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부르는 것이 어색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</si>
  <si>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나누는 짧은 대화가 생각을 정리해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</si>
  <si>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 문장과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나누는 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</si>
  <si>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위한 쉼에도 다정함을 쓰면 마음이 한결 채워집니다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</si>
  <si>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다정함을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</si>
  <si>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의욕과 행동이 깊은 유대와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</si>
  <si>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유대를 헤쳐 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오류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</si>
  <si>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다뤄 보려는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</si>
  <si>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변화를 정면으로 다루다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</si>
  <si>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B2b.json</t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</si>
  <si>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넉넉하게 잡기 쉬우니 내 몫을 한 번 세어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</si>
  <si>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약속을 넉넉하게 잡다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몫을 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</si>
  <si>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넉넉한 만큼 남에게도 후한 마음이 오래 이어지는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쓰는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</si>
  <si>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넉넉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쓰는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</si>
  <si>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붙이는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넉넉히 받아 두기 쉬우니 하루에 빈칸을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</si>
  <si>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루틴을 붙이다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일을 넉넉히 받아 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</si>
  <si>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일찍부터 스스로에게 기준이 높아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</si>
  <si>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스스로에게 기준이 높다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</si>
  <si>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r>
      <rPr>
        <sz val="10"/>
        <rFont val="Noto Sans CJK SC"/>
        <family val="2"/>
      </rPr>
      <t xml:space="preserve">마음껏 즐기거나 마음을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 없이 즐기는 시간을 일부러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</si>
  <si>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결과 없이 즐기다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</si>
  <si>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집을 단순한 공간보다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</si>
  <si>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비교 구문 어색</t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</si>
  <si>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바꾸면 회복이 오래갑니다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</si>
  <si>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회복이 오래가다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</si>
  <si>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보이지 않는 내면에서 깊은 회복력을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</si>
  <si>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내면에서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지닌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</si>
  <si>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t xml:space="preserve">B3.json</t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</si>
  <si>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</si>
  <si>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무엇을 회복하는지 빠져 있어 보완</t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</si>
  <si>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</si>
  <si>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누구에게 묻는지 불분명</t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</si>
  <si>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</si>
  <si>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</si>
  <si>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큰 그림을 보는 생각과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</si>
  <si>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생각이 큰 그림을 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결합 어색</t>
    </r>
  </si>
  <si>
    <t xml:space="preserve">line_meaning</t>
  </si>
  <si>
    <r>
      <rPr>
        <sz val="10"/>
        <rFont val="Noto Sans CJK SC"/>
        <family val="2"/>
      </rPr>
      <t xml:space="preserve">좋아하는 것과 확장의 별이 서로 더 많이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</si>
  <si>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서로 더 많이 원해요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 모호</t>
    </r>
  </si>
  <si>
    <t xml:space="preserve">B7.json</t>
  </si>
  <si>
    <t xml:space="preserve">grow</t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</si>
  <si>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들어만 줘도 된다고 바라는 것을 한마디로 먼저 알려 보세요</t>
    </r>
    <r>
      <rPr>
        <sz val="10"/>
        <rFont val="맑은 고딕"/>
        <family val="0"/>
        <charset val="1"/>
      </rPr>
      <t xml:space="preserve">.</t>
    </r>
  </si>
  <si>
    <t xml:space="preserve">인용 구조가 꼬여 뜻이 모호</t>
  </si>
  <si>
    <t xml:space="preserve">let_go</t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</si>
  <si>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곁을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</si>
  <si>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지켜 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목적어 어색</t>
    </r>
  </si>
  <si>
    <r>
      <rPr>
        <sz val="10"/>
        <rFont val="Noto Sans CJK SC"/>
        <family val="2"/>
      </rPr>
      <t xml:space="preserve">내 마음도 누군가에게 기대어 꺼내도 되는 이야기라고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</si>
  <si>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</si>
  <si>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</si>
  <si>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가지씩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기분이 호응하지 않음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</si>
  <si>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곁을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</si>
  <si>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확인하다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</si>
  <si>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얼마나 열지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</si>
  <si>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t xml:space="preserve">목적어 빠짐</t>
  </si>
  <si>
    <r>
      <rPr>
        <sz val="10"/>
        <rFont val="Noto Sans CJK SC"/>
        <family val="2"/>
      </rPr>
      <t xml:space="preserve">하고 싶은 말을 상대에게 닿는 모양으로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</si>
  <si>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모양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</si>
  <si>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</si>
  <si>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순조롭게 지키다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</si>
  <si>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다툼에 따라오기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</si>
  <si>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다툼에 따라오다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</si>
  <si>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마음이 가라앉을 때까지 말없이 오래 머무는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</si>
  <si>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t xml:space="preserve">어디에 머무는지 빠져 뜻 모호</t>
  </si>
  <si>
    <t xml:space="preserve">B8.json</t>
  </si>
  <si>
    <t xml:space="preserve">quiet_line</t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</si>
  <si>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안부의 속도를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</si>
  <si>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안부의 속도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</si>
  <si>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A14.json</t>
  </si>
  <si>
    <t xml:space="preserve">p1_how</t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</si>
  <si>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동료와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</si>
  <si>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 함께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</si>
  <si>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p1_why</t>
  </si>
  <si>
    <r>
      <rPr>
        <sz val="10"/>
        <rFont val="Noto Sans CJK SC"/>
        <family val="2"/>
      </rPr>
      <t xml:space="preserve">다 기대거나 다 짊어지면 둘 다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</si>
  <si>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둘 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주어가 모호</t>
    </r>
  </si>
  <si>
    <t xml:space="preserve">p1_title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</si>
  <si>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갈라보기</t>
    </r>
  </si>
  <si>
    <r>
      <rPr>
        <sz val="10"/>
        <rFont val="Noto Sans CJK SC"/>
        <family val="2"/>
      </rPr>
      <t xml:space="preserve">조사 누락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갈라보기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</si>
  <si>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나뉘면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</si>
  <si>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필요한지 나뉘면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</si>
  <si>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p3_why</t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</si>
  <si>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쉴 줄 아는 쪽으로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</si>
  <si>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t xml:space="preserve">뜻이 모호한 구절</t>
  </si>
  <si>
    <t xml:space="preserve">p3_how</t>
  </si>
  <si>
    <r>
      <rPr>
        <sz val="10"/>
        <rFont val="Noto Sans CJK SC"/>
        <family val="2"/>
      </rPr>
      <t xml:space="preserve">힘든 날 어떤 말이 부담스럽고 어떤 말이 도움이 되는지 연인과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</si>
  <si>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연인과 알려 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보완</t>
    </r>
  </si>
  <si>
    <r>
      <rPr>
        <sz val="10"/>
        <rFont val="Noto Sans CJK SC"/>
        <family val="2"/>
      </rPr>
      <t xml:space="preserve">같은 응원도 사람마다 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</si>
  <si>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같은 응원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말이 다르다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모순</t>
    </r>
  </si>
  <si>
    <t xml:space="preserve">내 곁의 사람 지도 그리고 마음 걸리는 한 명에 별표하기</t>
  </si>
  <si>
    <r>
      <rPr>
        <sz val="10"/>
        <rFont val="Noto Sans CJK SC"/>
        <family val="2"/>
      </rPr>
      <t xml:space="preserve">목적격 조사 누락으로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</si>
  <si>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p2_how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</si>
  <si>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사실부터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</si>
  <si>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인용문을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받는 결합 어색</t>
    </r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</si>
  <si>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느려지는 감각에만 살짝 주의를 둡니다</t>
    </r>
    <r>
      <rPr>
        <sz val="10"/>
        <rFont val="맑은 고딕"/>
        <family val="0"/>
        <charset val="1"/>
      </rPr>
      <t xml:space="preserve">.</t>
    </r>
  </si>
  <si>
    <t xml:space="preserve">앞뒤가 모순되게 읽힘</t>
  </si>
  <si>
    <r>
      <rPr>
        <sz val="10"/>
        <rFont val="Noto Sans CJK SC"/>
        <family val="2"/>
      </rPr>
      <t xml:space="preserve">끝내려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왔구나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</si>
  <si>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끝내려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대상 불분명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방법 칸과 표현 통일</t>
    </r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</si>
  <si>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고칠 정보로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</si>
  <si>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고칠 정보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</si>
  <si>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t xml:space="preserve">p3_title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</si>
  <si>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지금으로 돌리기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</si>
  <si>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지금으로 돌리다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</si>
  <si>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알아가는 사람이 반응해준 순간과 조마조마한 순간 적기</t>
  </si>
  <si>
    <t xml:space="preserve">시제 호응</t>
  </si>
  <si>
    <r>
      <rPr>
        <sz val="10"/>
        <rFont val="Noto Sans CJK SC"/>
        <family val="2"/>
      </rPr>
      <t xml:space="preserve">마음이 쉴 수 있는 곳을 정해 두면 불안이 켜질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</si>
  <si>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불안이 켜지다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</si>
  <si>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p2_title</t>
  </si>
  <si>
    <t xml:space="preserve">새로운 모임 체험 전 귀가 계획 세우기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</si>
  <si>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모임 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</si>
  <si>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선 사이에 경계가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</si>
  <si>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 사이에 경계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</si>
  <si>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내가 편하지 않은 농담에 짧게 표현하기</t>
  </si>
  <si>
    <r>
      <rPr>
        <sz val="10"/>
        <rFont val="Noto Sans CJK SC"/>
        <family val="2"/>
      </rPr>
      <t xml:space="preserve">친구나 모임 요청을 거절해서 내 시간을 지켰던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</si>
  <si>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지켰던…지켰는지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</si>
  <si>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t xml:space="preserve">쌓이기 전에 현실적인 상황을 전달하기</t>
  </si>
  <si>
    <r>
      <rPr>
        <sz val="10"/>
        <rFont val="Noto Sans CJK SC"/>
        <family val="2"/>
      </rPr>
      <t xml:space="preserve">주어 빠짐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</si>
  <si>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힘든 상황을 늦게 말할수록 말하기도 어렵고 수습도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</si>
  <si>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수습이 커지다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</si>
  <si>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말하기 전에 글로 먼저 정리하며 감정 선명하게 하기</t>
  </si>
  <si>
    <t xml:space="preserve">조사 누락</t>
  </si>
  <si>
    <r>
      <rPr>
        <sz val="10"/>
        <rFont val="Noto Sans CJK SC"/>
        <family val="2"/>
      </rPr>
      <t xml:space="preserve">불편한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푸는 방식 하나 고르기</t>
    </r>
  </si>
  <si>
    <t xml:space="preserve">수식 순서가 꼬임</t>
  </si>
  <si>
    <r>
      <rPr>
        <sz val="10"/>
        <rFont val="Noto Sans CJK SC"/>
        <family val="2"/>
      </rPr>
      <t xml:space="preserve">친구와 대화한 뒤나 모임에서 돌아오는 길에 지금 느끼는 감정을 한 단어로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</si>
  <si>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쏟는 부분과 상대에게 꼭 필요한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</si>
  <si>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쏟는 부분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 명확화</t>
    </r>
  </si>
  <si>
    <r>
      <rPr>
        <sz val="10"/>
        <rFont val="Noto Sans CJK SC"/>
        <family val="2"/>
      </rPr>
      <t xml:space="preserve">몸이 가라앉아야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</si>
  <si>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몸이 가라앉다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</si>
  <si>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날카로운 말에 바로 맞받으면 다툼이 빨라지기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</si>
  <si>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</si>
  <si>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다툼이 빨라지다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</si>
  <si>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등 돌림으로 읽힐 수 있음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</si>
</sst>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DF6E9"/>
      <name val="Noto Sans CJK SC"/>
      <family val="2"/>
    </font>
    <font>
      <b val="true"/>
      <sz val="10"/>
      <color rgb="FFFDF6E9"/>
      <name val="맑은 고딕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13566"/>
        <bgColor rgb="FF333399"/>
      </patternFill>
    </fill>
    <fill>
      <patternFill patternType="solid">
        <fgColor rgb="FFFFF4CC"/>
        <bgColor rgb="FFFDF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35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F6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DF6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8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5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4" t="s">
        <v>12</v>
      </c>
      <c r="B13" s="2" t="s">
        <v>13</v>
      </c>
      <c r="C13" s="4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  <c r="C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  <c r="C15" s="4" t="s">
        <v>17</v>
      </c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17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2" t="s">
        <v>26</v>
      </c>
      <c r="C18" s="4" t="s">
        <v>27</v>
      </c>
    </row>
    <row r="19" customFormat="false" ht="15" hidden="false" customHeight="false" outlineLevel="0" collapsed="false">
      <c r="A19" s="4" t="s">
        <v>28</v>
      </c>
      <c r="B19" s="2" t="s">
        <v>29</v>
      </c>
      <c r="C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30</v>
      </c>
    </row>
    <row r="21" customFormat="false" ht="15" hidden="false" customHeight="false" outlineLevel="0" collapsed="false">
      <c r="A21" s="4" t="s">
        <v>33</v>
      </c>
      <c r="B21" s="2" t="s">
        <v>34</v>
      </c>
      <c r="C21" s="4" t="s">
        <v>30</v>
      </c>
    </row>
    <row r="22" customFormat="false" ht="15" hidden="false" customHeight="false" outlineLevel="0" collapsed="false">
      <c r="A22" s="4" t="s">
        <v>35</v>
      </c>
      <c r="B22" s="2" t="s">
        <v>36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</cols>
  <sheetData>
    <row r="1" customFormat="false" ht="15" hidden="false" customHeight="false" outlineLevel="0" collapsed="false">
      <c r="A1" s="6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</row>
    <row r="2" customFormat="false" ht="15" hidden="false" customHeight="false" outlineLevel="0" collapsed="false">
      <c r="A2" s="7" t="s">
        <v>46</v>
      </c>
      <c r="B2" s="8" t="s">
        <v>47</v>
      </c>
      <c r="C2" s="8" t="s">
        <v>48</v>
      </c>
      <c r="D2" s="8" t="n">
        <f aca="false">COUNTA('A1 별자리 기본 정보'!A2:A13)</f>
        <v>12</v>
      </c>
      <c r="E2" s="8" t="n">
        <f aca="false">COUNTIF('A1 별자리 기본 정보'!M2:M13,"승인")</f>
        <v>0</v>
      </c>
      <c r="F2" s="8" t="n">
        <f aca="false">COUNTIF('A1 별자리 기본 정보'!M2:M13,"수정필요")</f>
        <v>0</v>
      </c>
      <c r="G2" s="8" t="n">
        <f aca="false">COUNTIF('A1 별자리 기본 정보'!M2:M13,"삭제")</f>
        <v>0</v>
      </c>
      <c r="H2" s="8" t="n">
        <f aca="false">COUNTIF('A1 별자리 기본 정보'!M2:M13,"미검수")</f>
        <v>12</v>
      </c>
      <c r="I2" s="9" t="n">
        <f aca="false">IFERROR((E2+G2)/D2,0)</f>
        <v>0</v>
      </c>
    </row>
    <row r="3" customFormat="false" ht="15" hidden="false" customHeight="false" outlineLevel="0" collapsed="false">
      <c r="A3" s="7" t="s">
        <v>49</v>
      </c>
      <c r="B3" s="8" t="s">
        <v>50</v>
      </c>
      <c r="C3" s="8" t="s">
        <v>51</v>
      </c>
      <c r="D3" s="8" t="n">
        <f aca="false">COUNTA('A2 태양 × 별자리'!A2:A13)</f>
        <v>12</v>
      </c>
      <c r="E3" s="8" t="n">
        <f aca="false">COUNTIF('A2 태양 × 별자리'!G2:G13,"승인")</f>
        <v>0</v>
      </c>
      <c r="F3" s="8" t="n">
        <f aca="false">COUNTIF('A2 태양 × 별자리'!G2:G13,"수정필요")</f>
        <v>0</v>
      </c>
      <c r="G3" s="8" t="n">
        <f aca="false">COUNTIF('A2 태양 × 별자리'!G2:G13,"삭제")</f>
        <v>0</v>
      </c>
      <c r="H3" s="8" t="n">
        <f aca="false">COUNTIF('A2 태양 × 별자리'!G2:G13,"미검수")</f>
        <v>12</v>
      </c>
      <c r="I3" s="9" t="n">
        <f aca="false">IFERROR((E3+G3)/D3,0)</f>
        <v>0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n">
        <f aca="false">COUNTA('A3 달 × 별자리'!A2:A13)</f>
        <v>12</v>
      </c>
      <c r="E4" s="8" t="n">
        <f aca="false">COUNTIF('A3 달 × 별자리'!G2:G13,"승인")</f>
        <v>0</v>
      </c>
      <c r="F4" s="8" t="n">
        <f aca="false">COUNTIF('A3 달 × 별자리'!G2:G13,"수정필요")</f>
        <v>0</v>
      </c>
      <c r="G4" s="8" t="n">
        <f aca="false">COUNTIF('A3 달 × 별자리'!G2:G13,"삭제")</f>
        <v>0</v>
      </c>
      <c r="H4" s="8" t="n">
        <f aca="false">COUNTIF('A3 달 × 별자리'!G2:G13,"미검수")</f>
        <v>12</v>
      </c>
      <c r="I4" s="9" t="n">
        <f aca="false">IFERROR((E4+G4)/D4,0)</f>
        <v>0</v>
      </c>
    </row>
    <row r="5" customFormat="false" ht="15" hidden="false" customHeight="false" outlineLevel="0" collapsed="false">
      <c r="A5" s="7" t="s">
        <v>55</v>
      </c>
      <c r="B5" s="8" t="s">
        <v>56</v>
      </c>
      <c r="C5" s="8" t="s">
        <v>57</v>
      </c>
      <c r="D5" s="8" t="n">
        <f aca="false">COUNTA('A4 상승궁 × 별자리'!A2:A13)</f>
        <v>12</v>
      </c>
      <c r="E5" s="8" t="n">
        <f aca="false">COUNTIF('A4 상승궁 × 별자리'!F2:F13,"승인")</f>
        <v>0</v>
      </c>
      <c r="F5" s="8" t="n">
        <f aca="false">COUNTIF('A4 상승궁 × 별자리'!F2:F13,"수정필요")</f>
        <v>0</v>
      </c>
      <c r="G5" s="8" t="n">
        <f aca="false">COUNTIF('A4 상승궁 × 별자리'!F2:F13,"삭제")</f>
        <v>0</v>
      </c>
      <c r="H5" s="8" t="n">
        <f aca="false">COUNTIF('A4 상승궁 × 별자리'!F2:F13,"미검수")</f>
        <v>12</v>
      </c>
      <c r="I5" s="9" t="n">
        <f aca="false">IFERROR((E5+G5)/D5,0)</f>
        <v>0</v>
      </c>
    </row>
    <row r="6" customFormat="false" ht="44" hidden="false" customHeight="false" outlineLevel="0" collapsed="false">
      <c r="A6" s="7" t="s">
        <v>58</v>
      </c>
      <c r="B6" s="8" t="s">
        <v>59</v>
      </c>
      <c r="C6" s="7" t="s">
        <v>60</v>
      </c>
      <c r="D6" s="8" t="n">
        <f aca="false">COUNTA('A5 캐릭터 20종 (점성술판)'!A2:A21)</f>
        <v>20</v>
      </c>
      <c r="E6" s="8" t="n">
        <f aca="false">COUNTIF('A5 캐릭터 20종 (점성술판)'!P2:P21,"승인")</f>
        <v>0</v>
      </c>
      <c r="F6" s="8" t="n">
        <f aca="false">COUNTIF('A5 캐릭터 20종 (점성술판)'!P2:P21,"수정필요")</f>
        <v>0</v>
      </c>
      <c r="G6" s="8" t="n">
        <f aca="false">COUNTIF('A5 캐릭터 20종 (점성술판)'!P2:P21,"삭제")</f>
        <v>0</v>
      </c>
      <c r="H6" s="8" t="n">
        <f aca="false">COUNTIF('A5 캐릭터 20종 (점성술판)'!P2:P21,"미검수")</f>
        <v>20</v>
      </c>
      <c r="I6" s="9" t="n">
        <f aca="false">IFERROR((E6+G6)/D6,0)</f>
        <v>0</v>
      </c>
    </row>
    <row r="7" customFormat="false" ht="15" hidden="false" customHeight="false" outlineLevel="0" collapsed="false">
      <c r="A7" s="7" t="s">
        <v>61</v>
      </c>
      <c r="B7" s="8" t="s">
        <v>62</v>
      </c>
      <c r="C7" s="7" t="s">
        <v>63</v>
      </c>
      <c r="D7" s="8" t="n">
        <f aca="false">COUNTA('A6 역량 5 · 방식 4 설명'!A2:A10)</f>
        <v>9</v>
      </c>
      <c r="E7" s="8" t="n">
        <f aca="false">COUNTIF('A6 역량 5 · 방식 4 설명'!I2:I10,"승인")</f>
        <v>0</v>
      </c>
      <c r="F7" s="8" t="n">
        <f aca="false">COUNTIF('A6 역량 5 · 방식 4 설명'!I2:I10,"수정필요")</f>
        <v>0</v>
      </c>
      <c r="G7" s="8" t="n">
        <f aca="false">COUNTIF('A6 역량 5 · 방식 4 설명'!I2:I10,"삭제")</f>
        <v>0</v>
      </c>
      <c r="H7" s="8" t="n">
        <f aca="false">COUNTIF('A6 역량 5 · 방식 4 설명'!I2:I10,"미검수")</f>
        <v>9</v>
      </c>
      <c r="I7" s="9" t="n">
        <f aca="false">IFERROR((E7+G7)/D7,0)</f>
        <v>0</v>
      </c>
    </row>
    <row r="8" customFormat="false" ht="15" hidden="false" customHeight="false" outlineLevel="0" collapsed="false">
      <c r="A8" s="7" t="s">
        <v>64</v>
      </c>
      <c r="B8" s="8" t="s">
        <v>65</v>
      </c>
      <c r="C8" s="7" t="s">
        <v>66</v>
      </c>
      <c r="D8" s="8" t="n">
        <f aca="false">COUNTA('A7 원소 강할 때·부족할 때'!A2:A9)</f>
        <v>8</v>
      </c>
      <c r="E8" s="8" t="n">
        <f aca="false">COUNTIF('A7 원소 강할 때·부족할 때'!G2:G9,"승인")</f>
        <v>0</v>
      </c>
      <c r="F8" s="8" t="n">
        <f aca="false">COUNTIF('A7 원소 강할 때·부족할 때'!G2:G9,"수정필요")</f>
        <v>0</v>
      </c>
      <c r="G8" s="8" t="n">
        <f aca="false">COUNTIF('A7 원소 강할 때·부족할 때'!G2:G9,"삭제")</f>
        <v>0</v>
      </c>
      <c r="H8" s="8" t="n">
        <f aca="false">COUNTIF('A7 원소 강할 때·부족할 때'!G2:G9,"미검수")</f>
        <v>8</v>
      </c>
      <c r="I8" s="9" t="n">
        <f aca="false">IFERROR((E8+G8)/D8,0)</f>
        <v>0</v>
      </c>
    </row>
    <row r="9" customFormat="false" ht="15" hidden="false" customHeight="false" outlineLevel="0" collapsed="false">
      <c r="A9" s="7" t="s">
        <v>67</v>
      </c>
      <c r="B9" s="8" t="s">
        <v>68</v>
      </c>
      <c r="C9" s="7" t="s">
        <v>69</v>
      </c>
      <c r="D9" s="8" t="n">
        <f aca="false">COUNTA('A8 트랜짓 이벤트 문장'!A2:A107)</f>
        <v>106</v>
      </c>
      <c r="E9" s="8" t="n">
        <f aca="false">COUNTIF('A8 트랜짓 이벤트 문장'!M2:M107,"승인")</f>
        <v>0</v>
      </c>
      <c r="F9" s="8" t="n">
        <f aca="false">COUNTIF('A8 트랜짓 이벤트 문장'!M2:M107,"수정필요")</f>
        <v>0</v>
      </c>
      <c r="G9" s="8" t="n">
        <f aca="false">COUNTIF('A8 트랜짓 이벤트 문장'!M2:M107,"삭제")</f>
        <v>0</v>
      </c>
      <c r="H9" s="8" t="n">
        <f aca="false">COUNTIF('A8 트랜짓 이벤트 문장'!M2:M107,"미검수")</f>
        <v>106</v>
      </c>
      <c r="I9" s="9" t="n">
        <f aca="false">IFERROR((E9+G9)/D9,0)</f>
        <v>0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7" t="s">
        <v>72</v>
      </c>
      <c r="D10" s="8" t="n">
        <f aca="false">COUNTA('A9 목성·토성 하우스 통과'!A2:A25)</f>
        <v>24</v>
      </c>
      <c r="E10" s="8" t="n">
        <f aca="false">COUNTIF('A9 목성·토성 하우스 통과'!L2:L25,"승인")</f>
        <v>0</v>
      </c>
      <c r="F10" s="8" t="n">
        <f aca="false">COUNTIF('A9 목성·토성 하우스 통과'!L2:L25,"수정필요")</f>
        <v>0</v>
      </c>
      <c r="G10" s="8" t="n">
        <f aca="false">COUNTIF('A9 목성·토성 하우스 통과'!L2:L25,"삭제")</f>
        <v>0</v>
      </c>
      <c r="H10" s="8" t="n">
        <f aca="false">COUNTIF('A9 목성·토성 하우스 통과'!L2:L25,"미검수")</f>
        <v>24</v>
      </c>
      <c r="I10" s="9" t="n">
        <f aca="false">IFERROR((E10+G10)/D10,0)</f>
        <v>0</v>
      </c>
    </row>
    <row r="11" customFormat="false" ht="29.85" hidden="false" customHeight="false" outlineLevel="0" collapsed="false">
      <c r="A11" s="7" t="s">
        <v>73</v>
      </c>
      <c r="B11" s="8" t="s">
        <v>74</v>
      </c>
      <c r="C11" s="8" t="s">
        <v>75</v>
      </c>
      <c r="D11" s="8" t="n">
        <f aca="false">COUNTA('A10 연말·단기 역행'!A2:A37)</f>
        <v>36</v>
      </c>
      <c r="E11" s="8" t="n">
        <f aca="false">COUNTIF('A10 연말·단기 역행'!J2:J37,"승인")</f>
        <v>0</v>
      </c>
      <c r="F11" s="8" t="n">
        <f aca="false">COUNTIF('A10 연말·단기 역행'!J2:J37,"수정필요")</f>
        <v>0</v>
      </c>
      <c r="G11" s="8" t="n">
        <f aca="false">COUNTIF('A10 연말·단기 역행'!J2:J37,"삭제")</f>
        <v>0</v>
      </c>
      <c r="H11" s="8" t="n">
        <f aca="false">COUNTIF('A10 연말·단기 역행'!J2:J37,"미검수")</f>
        <v>36</v>
      </c>
      <c r="I11" s="9" t="n">
        <f aca="false">IFERROR((E11+G11)/D11,0)</f>
        <v>0</v>
      </c>
    </row>
    <row r="12" customFormat="false" ht="15" hidden="false" customHeight="false" outlineLevel="0" collapsed="false">
      <c r="A12" s="7" t="s">
        <v>76</v>
      </c>
      <c r="B12" s="8" t="s">
        <v>77</v>
      </c>
      <c r="C12" s="7" t="s">
        <v>78</v>
      </c>
      <c r="D12" s="8" t="n">
        <f aca="false">COUNTA('A11 하늘의 공통 흐름 2026말~2031'!A2:A11)</f>
        <v>10</v>
      </c>
      <c r="E12" s="8" t="n">
        <f aca="false">COUNTIF('A11 하늘의 공통 흐름 2026말~2031'!G2:G11,"승인")</f>
        <v>0</v>
      </c>
      <c r="F12" s="8" t="n">
        <f aca="false">COUNTIF('A11 하늘의 공통 흐름 2026말~2031'!G2:G11,"수정필요")</f>
        <v>0</v>
      </c>
      <c r="G12" s="8" t="n">
        <f aca="false">COUNTIF('A11 하늘의 공통 흐름 2026말~2031'!G2:G11,"삭제")</f>
        <v>0</v>
      </c>
      <c r="H12" s="8" t="n">
        <f aca="false">COUNTIF('A11 하늘의 공통 흐름 2026말~2031'!G2:G11,"미검수")</f>
        <v>10</v>
      </c>
      <c r="I12" s="9" t="n">
        <f aca="false">IFERROR((E12+G12)/D12,0)</f>
        <v>0</v>
      </c>
    </row>
    <row r="13" customFormat="false" ht="44" hidden="false" customHeight="false" outlineLevel="0" collapsed="false">
      <c r="A13" s="7" t="s">
        <v>79</v>
      </c>
      <c r="B13" s="7" t="s">
        <v>80</v>
      </c>
      <c r="C13" s="7" t="s">
        <v>81</v>
      </c>
      <c r="D13" s="8" t="n">
        <f aca="false">COUNTA('A12 Q2 공감 도입문 (2026 한 단어)'!A2:A11)</f>
        <v>10</v>
      </c>
      <c r="E13" s="8" t="n">
        <f aca="false">COUNTIF('A12 Q2 공감 도입문 (2026 한 단어)'!I2:I11,"승인")</f>
        <v>0</v>
      </c>
      <c r="F13" s="8" t="n">
        <f aca="false">COUNTIF('A12 Q2 공감 도입문 (2026 한 단어)'!I2:I11,"수정필요")</f>
        <v>0</v>
      </c>
      <c r="G13" s="8" t="n">
        <f aca="false">COUNTIF('A12 Q2 공감 도입문 (2026 한 단어)'!I2:I11,"삭제")</f>
        <v>0</v>
      </c>
      <c r="H13" s="8" t="n">
        <f aca="false">COUNTIF('A12 Q2 공감 도입문 (2026 한 단어)'!I2:I11,"미검수")</f>
        <v>10</v>
      </c>
      <c r="I13" s="9" t="n">
        <f aca="false">IFERROR((E13+G13)/D13,0)</f>
        <v>0</v>
      </c>
    </row>
    <row r="14" customFormat="false" ht="44" hidden="false" customHeight="false" outlineLevel="0" collapsed="false">
      <c r="A14" s="7" t="s">
        <v>82</v>
      </c>
      <c r="B14" s="7" t="s">
        <v>83</v>
      </c>
      <c r="C14" s="7" t="s">
        <v>84</v>
      </c>
      <c r="D14" s="8" t="n">
        <f aca="false">COUNTA('A12b 2026 회고 표현 변형'!A2:A121)</f>
        <v>120</v>
      </c>
      <c r="E14" s="8" t="n">
        <f aca="false">COUNTIF('A12b 2026 회고 표현 변형'!G2:G121,"승인")</f>
        <v>0</v>
      </c>
      <c r="F14" s="8" t="n">
        <f aca="false">COUNTIF('A12b 2026 회고 표현 변형'!G2:G121,"수정필요")</f>
        <v>0</v>
      </c>
      <c r="G14" s="8" t="n">
        <f aca="false">COUNTIF('A12b 2026 회고 표현 변형'!G2:G121,"삭제")</f>
        <v>0</v>
      </c>
      <c r="H14" s="8" t="n">
        <f aca="false">COUNTIF('A12b 2026 회고 표현 변형'!G2:G121,"미검수")</f>
        <v>120</v>
      </c>
      <c r="I14" s="9" t="n">
        <f aca="false">IFERROR((E14+G14)/D14,0)</f>
        <v>0</v>
      </c>
    </row>
    <row r="15" customFormat="false" ht="15" hidden="false" customHeight="false" outlineLevel="0" collapsed="false">
      <c r="A15" s="7" t="s">
        <v>17</v>
      </c>
      <c r="B15" s="7" t="s">
        <v>85</v>
      </c>
      <c r="C15" s="7" t="s">
        <v>86</v>
      </c>
      <c r="D15" s="8" t="n">
        <f aca="false">COUNTA('A13 Q3 바람 × 판정 (이루어짐)'!A2:A45)</f>
        <v>44</v>
      </c>
      <c r="E15" s="8" t="n">
        <f aca="false">COUNTIF('A13 Q3 바람 × 판정 (이루어짐)'!H2:H45,"승인")</f>
        <v>0</v>
      </c>
      <c r="F15" s="8" t="n">
        <f aca="false">COUNTIF('A13 Q3 바람 × 판정 (이루어짐)'!H2:H45,"수정필요")</f>
        <v>0</v>
      </c>
      <c r="G15" s="8" t="n">
        <f aca="false">COUNTIF('A13 Q3 바람 × 판정 (이루어짐)'!H2:H45,"삭제")</f>
        <v>0</v>
      </c>
      <c r="H15" s="8" t="n">
        <f aca="false">COUNTIF('A13 Q3 바람 × 판정 (이루어짐)'!H2:H45,"미검수")</f>
        <v>44</v>
      </c>
      <c r="I15" s="9" t="n">
        <f aca="false">IFERROR((E15+G15)/D15,0)</f>
        <v>0</v>
      </c>
    </row>
    <row r="16" customFormat="false" ht="44" hidden="false" customHeight="false" outlineLevel="0" collapsed="false">
      <c r="A16" s="7" t="s">
        <v>87</v>
      </c>
      <c r="B16" s="8" t="s">
        <v>88</v>
      </c>
      <c r="C16" s="7" t="s">
        <v>89</v>
      </c>
      <c r="D16" s="8" t="n">
        <f aca="false">COUNTA('A13b 바람 판정 표현 변형'!A2:A221)</f>
        <v>220</v>
      </c>
      <c r="E16" s="8" t="n">
        <f aca="false">COUNTIF('A13b 바람 판정 표현 변형'!H2:H221,"승인")</f>
        <v>0</v>
      </c>
      <c r="F16" s="8" t="n">
        <f aca="false">COUNTIF('A13b 바람 판정 표현 변형'!H2:H221,"수정필요")</f>
        <v>0</v>
      </c>
      <c r="G16" s="8" t="n">
        <f aca="false">COUNTIF('A13b 바람 판정 표현 변형'!H2:H221,"삭제")</f>
        <v>0</v>
      </c>
      <c r="H16" s="8" t="n">
        <f aca="false">COUNTIF('A13b 바람 판정 표현 변형'!H2:H221,"미검수")</f>
        <v>220</v>
      </c>
      <c r="I16" s="9" t="n">
        <f aca="false">IFERROR((E16+G16)/D16,0)</f>
        <v>0</v>
      </c>
    </row>
    <row r="17" customFormat="false" ht="29.85" hidden="false" customHeight="false" outlineLevel="0" collapsed="false">
      <c r="A17" s="7" t="s">
        <v>90</v>
      </c>
      <c r="B17" s="8" t="s">
        <v>91</v>
      </c>
      <c r="C17" s="7" t="s">
        <v>92</v>
      </c>
      <c r="D17" s="8" t="n">
        <f aca="false">COUNTA('A14 웰니스 실천 (역량 × 고민 영역)'!A2:A31)</f>
        <v>30</v>
      </c>
      <c r="E17" s="8" t="n">
        <f aca="false">COUNTIF('A14 웰니스 실천 (역량 × 고민 영역)'!X2:X31,"승인")</f>
        <v>0</v>
      </c>
      <c r="F17" s="8" t="n">
        <f aca="false">COUNTIF('A14 웰니스 실천 (역량 × 고민 영역)'!X2:X31,"수정필요")</f>
        <v>0</v>
      </c>
      <c r="G17" s="8" t="n">
        <f aca="false">COUNTIF('A14 웰니스 실천 (역량 × 고민 영역)'!X2:X31,"삭제")</f>
        <v>0</v>
      </c>
      <c r="H17" s="8" t="n">
        <f aca="false">COUNTIF('A14 웰니스 실천 (역량 × 고민 영역)'!X2:X31,"미검수")</f>
        <v>30</v>
      </c>
      <c r="I17" s="9" t="n">
        <f aca="false">IFERROR((E17+G17)/D17,0)</f>
        <v>0</v>
      </c>
    </row>
    <row r="18" customFormat="false" ht="29.85" hidden="false" customHeight="false" outlineLevel="0" collapsed="false">
      <c r="A18" s="7" t="s">
        <v>93</v>
      </c>
      <c r="B18" s="8" t="s">
        <v>94</v>
      </c>
      <c r="C18" s="8" t="s">
        <v>95</v>
      </c>
      <c r="D18" s="8" t="n">
        <f aca="false">COUNTA('A15 고정 문구'!A2:A17)</f>
        <v>16</v>
      </c>
      <c r="E18" s="8" t="n">
        <f aca="false">COUNTIF('A15 고정 문구'!E2:E17,"승인")</f>
        <v>0</v>
      </c>
      <c r="F18" s="8" t="n">
        <f aca="false">COUNTIF('A15 고정 문구'!E2:E17,"수정필요")</f>
        <v>0</v>
      </c>
      <c r="G18" s="8" t="n">
        <f aca="false">COUNTIF('A15 고정 문구'!E2:E17,"삭제")</f>
        <v>0</v>
      </c>
      <c r="H18" s="8" t="n">
        <f aca="false">COUNTIF('A15 고정 문구'!E2:E17,"미검수")</f>
        <v>16</v>
      </c>
      <c r="I18" s="9" t="n">
        <f aca="false">IFERROR((E18+G18)/D18,0)</f>
        <v>0</v>
      </c>
    </row>
    <row r="19" customFormat="false" ht="15" hidden="false" customHeight="false" outlineLevel="0" collapsed="false">
      <c r="A19" s="7" t="s">
        <v>96</v>
      </c>
      <c r="B19" s="8" t="s">
        <v>97</v>
      </c>
      <c r="C19" s="8" t="s">
        <v>98</v>
      </c>
      <c r="D19" s="8" t="n">
        <f aca="false">COUNTA('A16 행성·각도·하우스 뜻 (용어 사전)'!A2:A36)</f>
        <v>35</v>
      </c>
      <c r="E19" s="8" t="n">
        <f aca="false">COUNTIF('A16 행성·각도·하우스 뜻 (용어 사전)'!H2:H36,"승인")</f>
        <v>0</v>
      </c>
      <c r="F19" s="8" t="n">
        <f aca="false">COUNTIF('A16 행성·각도·하우스 뜻 (용어 사전)'!H2:H36,"수정필요")</f>
        <v>0</v>
      </c>
      <c r="G19" s="8" t="n">
        <f aca="false">COUNTIF('A16 행성·각도·하우스 뜻 (용어 사전)'!H2:H36,"삭제")</f>
        <v>0</v>
      </c>
      <c r="H19" s="8" t="n">
        <f aca="false">COUNTIF('A16 행성·각도·하우스 뜻 (용어 사전)'!H2:H36,"미검수")</f>
        <v>35</v>
      </c>
      <c r="I19" s="9" t="n">
        <f aca="false">IFERROR((E19+G19)/D19,0)</f>
        <v>0</v>
      </c>
    </row>
    <row r="20" customFormat="false" ht="15" hidden="false" customHeight="false" outlineLevel="0" collapsed="false">
      <c r="A20" s="7" t="s">
        <v>24</v>
      </c>
      <c r="B20" s="8" t="s">
        <v>99</v>
      </c>
      <c r="C20" s="7" t="s">
        <v>100</v>
      </c>
      <c r="D20" s="8" t="n">
        <f aca="false">COUNTA('A17a 성찰 질문 은행 (역량 × 2027 바람)'!A2:A56)</f>
        <v>55</v>
      </c>
      <c r="E20" s="8" t="n">
        <f aca="false">COUNTIF('A17a 성찰 질문 은행 (역량 × 2027 바람)'!J2:J56,"승인")</f>
        <v>0</v>
      </c>
      <c r="F20" s="8" t="n">
        <f aca="false">COUNTIF('A17a 성찰 질문 은행 (역량 × 2027 바람)'!J2:J56,"수정필요")</f>
        <v>0</v>
      </c>
      <c r="G20" s="8" t="n">
        <f aca="false">COUNTIF('A17a 성찰 질문 은행 (역량 × 2027 바람)'!J2:J56,"삭제")</f>
        <v>0</v>
      </c>
      <c r="H20" s="8" t="n">
        <f aca="false">COUNTIF('A17a 성찰 질문 은행 (역량 × 2027 바람)'!J2:J56,"미검수")</f>
        <v>55</v>
      </c>
      <c r="I20" s="9" t="n">
        <f aca="false">IFERROR((E20+G20)/D20,0)</f>
        <v>0</v>
      </c>
    </row>
    <row r="21" customFormat="false" ht="29.85" hidden="false" customHeight="false" outlineLevel="0" collapsed="false">
      <c r="A21" s="7" t="s">
        <v>27</v>
      </c>
      <c r="B21" s="8" t="s">
        <v>101</v>
      </c>
      <c r="C21" s="8" t="s">
        <v>102</v>
      </c>
      <c r="D21" s="8" t="n">
        <f aca="false">COUNTA('A17b 기질 문장 (태양 원소 × 달 원소)'!A2:A17)</f>
        <v>16</v>
      </c>
      <c r="E21" s="8" t="n">
        <f aca="false">COUNTIF('A17b 기질 문장 (태양 원소 × 달 원소)'!G2:G17,"승인")</f>
        <v>0</v>
      </c>
      <c r="F21" s="8" t="n">
        <f aca="false">COUNTIF('A17b 기질 문장 (태양 원소 × 달 원소)'!G2:G17,"수정필요")</f>
        <v>0</v>
      </c>
      <c r="G21" s="8" t="n">
        <f aca="false">COUNTIF('A17b 기질 문장 (태양 원소 × 달 원소)'!G2:G17,"삭제")</f>
        <v>0</v>
      </c>
      <c r="H21" s="8" t="n">
        <f aca="false">COUNTIF('A17b 기질 문장 (태양 원소 × 달 원소)'!G2:G17,"미검수")</f>
        <v>16</v>
      </c>
      <c r="I21" s="9" t="n">
        <f aca="false">IFERROR((E21+G21)/D21,0)</f>
        <v>0</v>
      </c>
    </row>
    <row r="22" customFormat="false" ht="15" hidden="false" customHeight="false" outlineLevel="0" collapsed="false">
      <c r="A22" s="7" t="s">
        <v>30</v>
      </c>
      <c r="B22" s="8" t="s">
        <v>103</v>
      </c>
      <c r="C22" s="7" t="s">
        <v>104</v>
      </c>
      <c r="D22" s="8" t="n">
        <f aca="false">COUNTA('A18 전환점 문장 (올해의 전환점)'!A2:A21)</f>
        <v>20</v>
      </c>
      <c r="E22" s="8" t="n">
        <f aca="false">COUNTIF('A18 전환점 문장 (올해의 전환점)'!F2:F21,"승인")</f>
        <v>0</v>
      </c>
      <c r="F22" s="8" t="n">
        <f aca="false">COUNTIF('A18 전환점 문장 (올해의 전환점)'!F2:F21,"수정필요")</f>
        <v>0</v>
      </c>
      <c r="G22" s="8" t="n">
        <f aca="false">COUNTIF('A18 전환점 문장 (올해의 전환점)'!F2:F21,"삭제")</f>
        <v>0</v>
      </c>
      <c r="H22" s="8" t="n">
        <f aca="false">COUNTIF('A18 전환점 문장 (올해의 전환점)'!F2:F21,"미검수")</f>
        <v>20</v>
      </c>
      <c r="I22" s="9" t="n">
        <f aca="false">IFERROR((E22+G22)/D22,0)</f>
        <v>0</v>
      </c>
    </row>
    <row r="23" customFormat="false" ht="29.85" hidden="false" customHeight="false" outlineLevel="0" collapsed="false">
      <c r="A23" s="7" t="s">
        <v>105</v>
      </c>
      <c r="B23" s="8" t="s">
        <v>106</v>
      </c>
      <c r="C23" s="8" t="s">
        <v>107</v>
      </c>
      <c r="D23" s="8" t="n">
        <f aca="false">COUNTA('B1a 행성 × 별자리 (수성·금성·화성·목성·토성)'!A2:A61)</f>
        <v>60</v>
      </c>
      <c r="E23" s="8" t="n">
        <f aca="false">COUNTIF('B1a 행성 × 별자리 (수성·금성·화성·목성·토성)'!G2:G61,"승인")</f>
        <v>0</v>
      </c>
      <c r="F23" s="8" t="n">
        <f aca="false">COUNTIF('B1a 행성 × 별자리 (수성·금성·화성·목성·토성)'!G2:G61,"수정필요")</f>
        <v>0</v>
      </c>
      <c r="G23" s="8" t="n">
        <f aca="false">COUNTIF('B1a 행성 × 별자리 (수성·금성·화성·목성·토성)'!G2:G61,"삭제")</f>
        <v>0</v>
      </c>
      <c r="H23" s="8" t="n">
        <f aca="false">COUNTIF('B1a 행성 × 별자리 (수성·금성·화성·목성·토성)'!G2:G61,"미검수")</f>
        <v>60</v>
      </c>
      <c r="I23" s="9" t="n">
        <f aca="false">IFERROR((E23+G23)/D23,0)</f>
        <v>0</v>
      </c>
    </row>
    <row r="24" customFormat="false" ht="29.85" hidden="false" customHeight="false" outlineLevel="0" collapsed="false">
      <c r="A24" s="7" t="s">
        <v>108</v>
      </c>
      <c r="B24" s="8" t="s">
        <v>109</v>
      </c>
      <c r="C24" s="8" t="s">
        <v>110</v>
      </c>
      <c r="D24" s="8" t="n">
        <f aca="false">COUNTA('B1b 세대 행성 × 별자리 (천왕성·해왕성·명왕성)'!A2:A37)</f>
        <v>36</v>
      </c>
      <c r="E24" s="8" t="n">
        <f aca="false">COUNTIF('B1b 세대 행성 × 별자리 (천왕성·해왕성·명왕성)'!H2:H37,"승인")</f>
        <v>0</v>
      </c>
      <c r="F24" s="8" t="n">
        <f aca="false">COUNTIF('B1b 세대 행성 × 별자리 (천왕성·해왕성·명왕성)'!H2:H37,"수정필요")</f>
        <v>0</v>
      </c>
      <c r="G24" s="8" t="n">
        <f aca="false">COUNTIF('B1b 세대 행성 × 별자리 (천왕성·해왕성·명왕성)'!H2:H37,"삭제")</f>
        <v>0</v>
      </c>
      <c r="H24" s="8" t="n">
        <f aca="false">COUNTIF('B1b 세대 행성 × 별자리 (천왕성·해왕성·명왕성)'!H2:H37,"미검수")</f>
        <v>36</v>
      </c>
      <c r="I24" s="9" t="n">
        <f aca="false">IFERROR((E24+G24)/D24,0)</f>
        <v>0</v>
      </c>
    </row>
    <row r="25" customFormat="false" ht="29.85" hidden="false" customHeight="false" outlineLevel="0" collapsed="false">
      <c r="A25" s="7" t="s">
        <v>111</v>
      </c>
      <c r="B25" s="8" t="s">
        <v>112</v>
      </c>
      <c r="C25" s="8" t="s">
        <v>113</v>
      </c>
      <c r="D25" s="8" t="n">
        <f aca="false">COUNTA('B2a 행성 × 하우스 (태양·달·수성·금성·화성)'!A2:A61)</f>
        <v>60</v>
      </c>
      <c r="E25" s="8" t="n">
        <f aca="false">COUNTIF('B2a 행성 × 하우스 (태양·달·수성·금성·화성)'!H2:H61,"승인")</f>
        <v>0</v>
      </c>
      <c r="F25" s="8" t="n">
        <f aca="false">COUNTIF('B2a 행성 × 하우스 (태양·달·수성·금성·화성)'!H2:H61,"수정필요")</f>
        <v>0</v>
      </c>
      <c r="G25" s="8" t="n">
        <f aca="false">COUNTIF('B2a 행성 × 하우스 (태양·달·수성·금성·화성)'!H2:H61,"삭제")</f>
        <v>0</v>
      </c>
      <c r="H25" s="8" t="n">
        <f aca="false">COUNTIF('B2a 행성 × 하우스 (태양·달·수성·금성·화성)'!H2:H61,"미검수")</f>
        <v>60</v>
      </c>
      <c r="I25" s="9" t="n">
        <f aca="false">IFERROR((E25+G25)/D25,0)</f>
        <v>0</v>
      </c>
    </row>
    <row r="26" customFormat="false" ht="29.85" hidden="false" customHeight="false" outlineLevel="0" collapsed="false">
      <c r="A26" s="7" t="s">
        <v>114</v>
      </c>
      <c r="B26" s="8" t="s">
        <v>115</v>
      </c>
      <c r="C26" s="8" t="s">
        <v>116</v>
      </c>
      <c r="D26" s="8" t="n">
        <f aca="false">COUNTA('B2b 행성 × 하우스 (목성·토성·천왕성·해왕성·명왕성'!A2:A61)</f>
        <v>60</v>
      </c>
      <c r="E26" s="8" t="n">
        <f aca="false">COUNTIF('B2b 행성 × 하우스 (목성·토성·천왕성·해왕성·명왕성'!H2:H61,"승인")</f>
        <v>0</v>
      </c>
      <c r="F26" s="8" t="n">
        <f aca="false">COUNTIF('B2b 행성 × 하우스 (목성·토성·천왕성·해왕성·명왕성'!H2:H61,"수정필요")</f>
        <v>0</v>
      </c>
      <c r="G26" s="8" t="n">
        <f aca="false">COUNTIF('B2b 행성 × 하우스 (목성·토성·천왕성·해왕성·명왕성'!H2:H61,"삭제")</f>
        <v>0</v>
      </c>
      <c r="H26" s="8" t="n">
        <f aca="false">COUNTIF('B2b 행성 × 하우스 (목성·토성·천왕성·해왕성·명왕성'!H2:H61,"미검수")</f>
        <v>60</v>
      </c>
      <c r="I26" s="9" t="n">
        <f aca="false">IFERROR((E26+G26)/D26,0)</f>
        <v>0</v>
      </c>
    </row>
    <row r="27" customFormat="false" ht="15" hidden="false" customHeight="false" outlineLevel="0" collapsed="false">
      <c r="A27" s="7" t="s">
        <v>117</v>
      </c>
      <c r="B27" s="8" t="s">
        <v>118</v>
      </c>
      <c r="C27" s="8" t="s">
        <v>119</v>
      </c>
      <c r="D27" s="8" t="n">
        <f aca="false">COUNTA('B3 출생차트 주요 각도'!A2:A64)</f>
        <v>63</v>
      </c>
      <c r="E27" s="8" t="n">
        <f aca="false">COUNTIF('B3 출생차트 주요 각도'!I2:I64,"승인")</f>
        <v>0</v>
      </c>
      <c r="F27" s="8" t="n">
        <f aca="false">COUNTIF('B3 출생차트 주요 각도'!I2:I64,"수정필요")</f>
        <v>0</v>
      </c>
      <c r="G27" s="8" t="n">
        <f aca="false">COUNTIF('B3 출생차트 주요 각도'!I2:I64,"삭제")</f>
        <v>0</v>
      </c>
      <c r="H27" s="8" t="n">
        <f aca="false">COUNTIF('B3 출생차트 주요 각도'!I2:I64,"미검수")</f>
        <v>63</v>
      </c>
      <c r="I27" s="9" t="n">
        <f aca="false">IFERROR((E27+G27)/D27,0)</f>
        <v>0</v>
      </c>
    </row>
    <row r="28" customFormat="false" ht="15" hidden="false" customHeight="false" outlineLevel="0" collapsed="false">
      <c r="A28" s="7" t="s">
        <v>120</v>
      </c>
      <c r="B28" s="8" t="s">
        <v>121</v>
      </c>
      <c r="C28" s="8" t="s">
        <v>122</v>
      </c>
      <c r="D28" s="8" t="n">
        <f aca="false">COUNTA('B6 캐릭터 후보 선택 카드'!A2:A21)</f>
        <v>20</v>
      </c>
      <c r="E28" s="8" t="n">
        <f aca="false">COUNTIF('B6 캐릭터 후보 선택 카드'!G2:G21,"승인")</f>
        <v>0</v>
      </c>
      <c r="F28" s="8" t="n">
        <f aca="false">COUNTIF('B6 캐릭터 후보 선택 카드'!G2:G21,"수정필요")</f>
        <v>0</v>
      </c>
      <c r="G28" s="8" t="n">
        <f aca="false">COUNTIF('B6 캐릭터 후보 선택 카드'!G2:G21,"삭제")</f>
        <v>0</v>
      </c>
      <c r="H28" s="8" t="n">
        <f aca="false">COUNTIF('B6 캐릭터 후보 선택 카드'!G2:G21,"미검수")</f>
        <v>20</v>
      </c>
      <c r="I28" s="9" t="n">
        <f aca="false">IFERROR((E28+G28)/D28,0)</f>
        <v>0</v>
      </c>
    </row>
    <row r="29" customFormat="false" ht="29.85" hidden="false" customHeight="false" outlineLevel="0" collapsed="false">
      <c r="A29" s="7" t="s">
        <v>123</v>
      </c>
      <c r="B29" s="8" t="s">
        <v>124</v>
      </c>
      <c r="C29" s="7" t="s">
        <v>125</v>
      </c>
      <c r="D29" s="8" t="n">
        <f aca="false">COUNTA('B7 놓아줄 것·키울 것 (캐릭터별)'!A2:A21)</f>
        <v>20</v>
      </c>
      <c r="E29" s="8" t="n">
        <f aca="false">COUNTIF('B7 놓아줄 것·키울 것 (캐릭터별)'!F2:F21,"승인")</f>
        <v>0</v>
      </c>
      <c r="F29" s="8" t="n">
        <f aca="false">COUNTIF('B7 놓아줄 것·키울 것 (캐릭터별)'!F2:F21,"수정필요")</f>
        <v>0</v>
      </c>
      <c r="G29" s="8" t="n">
        <f aca="false">COUNTIF('B7 놓아줄 것·키울 것 (캐릭터별)'!F2:F21,"삭제")</f>
        <v>0</v>
      </c>
      <c r="H29" s="8" t="n">
        <f aca="false">COUNTIF('B7 놓아줄 것·키울 것 (캐릭터별)'!F2:F21,"미검수")</f>
        <v>20</v>
      </c>
      <c r="I29" s="9" t="n">
        <f aca="false">IFERROR((E29+G29)/D29,0)</f>
        <v>0</v>
      </c>
    </row>
    <row r="30" customFormat="false" ht="15" hidden="false" customHeight="false" outlineLevel="0" collapsed="false">
      <c r="A30" s="7" t="s">
        <v>126</v>
      </c>
      <c r="B30" s="8" t="s">
        <v>127</v>
      </c>
      <c r="C30" s="8" t="s">
        <v>128</v>
      </c>
      <c r="D30" s="8" t="n">
        <f aca="false">COUNTA('B8 고민 영역(Q1) 안내'!A2:A7)</f>
        <v>6</v>
      </c>
      <c r="E30" s="8" t="n">
        <f aca="false">COUNTIF('B8 고민 영역(Q1) 안내'!I2:I7,"승인")</f>
        <v>0</v>
      </c>
      <c r="F30" s="8" t="n">
        <f aca="false">COUNTIF('B8 고민 영역(Q1) 안내'!I2:I7,"수정필요")</f>
        <v>0</v>
      </c>
      <c r="G30" s="8" t="n">
        <f aca="false">COUNTIF('B8 고민 영역(Q1) 안내'!I2:I7,"삭제")</f>
        <v>0</v>
      </c>
      <c r="H30" s="8" t="n">
        <f aca="false">COUNTIF('B8 고민 영역(Q1) 안내'!I2:I7,"미검수")</f>
        <v>6</v>
      </c>
      <c r="I30" s="9" t="n">
        <f aca="false">IFERROR((E30+G30)/D30,0)</f>
        <v>0</v>
      </c>
    </row>
    <row r="31" customFormat="false" ht="29.85" hidden="false" customHeight="false" outlineLevel="0" collapsed="false">
      <c r="A31" s="7" t="s">
        <v>129</v>
      </c>
      <c r="B31" s="8" t="s">
        <v>130</v>
      </c>
      <c r="C31" s="7" t="s">
        <v>131</v>
      </c>
      <c r="D31" s="8" t="n">
        <f aca="false">COUNTA('B9 움직임 × 기질 문장'!A2:A13)</f>
        <v>12</v>
      </c>
      <c r="E31" s="8" t="n">
        <f aca="false">COUNTIF('B9 움직임 × 기질 문장'!H2:H13,"승인")</f>
        <v>0</v>
      </c>
      <c r="F31" s="8" t="n">
        <f aca="false">COUNTIF('B9 움직임 × 기질 문장'!H2:H13,"수정필요")</f>
        <v>0</v>
      </c>
      <c r="G31" s="8" t="n">
        <f aca="false">COUNTIF('B9 움직임 × 기질 문장'!H2:H13,"삭제")</f>
        <v>0</v>
      </c>
      <c r="H31" s="8" t="n">
        <f aca="false">COUNTIF('B9 움직임 × 기질 문장'!H2:H13,"미검수")</f>
        <v>12</v>
      </c>
      <c r="I31" s="9" t="n">
        <f aca="false">IFERROR((E31+G31)/D31,0)</f>
        <v>0</v>
      </c>
    </row>
    <row r="32" customFormat="false" ht="29.85" hidden="false" customHeight="false" outlineLevel="0" collapsed="false">
      <c r="A32" s="7" t="s">
        <v>132</v>
      </c>
      <c r="B32" s="8" t="s">
        <v>133</v>
      </c>
      <c r="C32" s="7" t="s">
        <v>134</v>
      </c>
      <c r="D32" s="8" t="n">
        <f aca="false">COUNTA('B10 경계 구간 문장 (판정 기준선 ±1)'!A2:A5)</f>
        <v>4</v>
      </c>
      <c r="E32" s="8" t="n">
        <f aca="false">COUNTIF('B10 경계 구간 문장 (판정 기준선 ±1)'!H2:H5,"승인")</f>
        <v>0</v>
      </c>
      <c r="F32" s="8" t="n">
        <f aca="false">COUNTIF('B10 경계 구간 문장 (판정 기준선 ±1)'!H2:H5,"수정필요")</f>
        <v>0</v>
      </c>
      <c r="G32" s="8" t="n">
        <f aca="false">COUNTIF('B10 경계 구간 문장 (판정 기준선 ±1)'!H2:H5,"삭제")</f>
        <v>0</v>
      </c>
      <c r="H32" s="8" t="n">
        <f aca="false">COUNTIF('B10 경계 구간 문장 (판정 기준선 ±1)'!H2:H5,"미검수")</f>
        <v>4</v>
      </c>
      <c r="I32" s="9" t="n">
        <f aca="false">IFERROR((E32+G32)/D32,0)</f>
        <v>0</v>
      </c>
    </row>
    <row r="33" customFormat="false" ht="29.85" hidden="false" customHeight="false" outlineLevel="0" collapsed="false">
      <c r="A33" s="7" t="s">
        <v>135</v>
      </c>
      <c r="B33" s="8" t="s">
        <v>136</v>
      </c>
      <c r="C33" s="8" t="s">
        <v>137</v>
      </c>
      <c r="D33" s="8" t="n">
        <f aca="false">COUNTA('B11 요약 문장 틀·화면 고정 문구 (2026-10-0'!A2:A30)</f>
        <v>29</v>
      </c>
      <c r="E33" s="8" t="n">
        <f aca="false">COUNTIF('B11 요약 문장 틀·화면 고정 문구 (2026-10-0'!F2:F30,"승인")</f>
        <v>0</v>
      </c>
      <c r="F33" s="8" t="n">
        <f aca="false">COUNTIF('B11 요약 문장 틀·화면 고정 문구 (2026-10-0'!F2:F30,"수정필요")</f>
        <v>0</v>
      </c>
      <c r="G33" s="8" t="n">
        <f aca="false">COUNTIF('B11 요약 문장 틀·화면 고정 문구 (2026-10-0'!F2:F30,"삭제")</f>
        <v>0</v>
      </c>
      <c r="H33" s="8" t="n">
        <f aca="false">COUNTIF('B11 요약 문장 틀·화면 고정 문구 (2026-10-0'!F2:F30,"미검수")</f>
        <v>29</v>
      </c>
      <c r="I33" s="9" t="n">
        <f aca="false">IFERROR((E33+G33)/D33,0)</f>
        <v>0</v>
      </c>
    </row>
    <row r="34" customFormat="false" ht="44" hidden="false" customHeight="false" outlineLevel="0" collapsed="false">
      <c r="A34" s="7" t="s">
        <v>138</v>
      </c>
      <c r="B34" s="8" t="s">
        <v>139</v>
      </c>
      <c r="C34" s="7" t="s">
        <v>140</v>
      </c>
      <c r="D34" s="8" t="n">
        <f aca="false">COUNTA('B12 바람과 흐름 잇기 — AI 대체 문장'!A2:A23)</f>
        <v>22</v>
      </c>
      <c r="E34" s="8" t="n">
        <f aca="false">COUNTIF('B12 바람과 흐름 잇기 — AI 대체 문장'!G2:G23,"승인")</f>
        <v>0</v>
      </c>
      <c r="F34" s="8" t="n">
        <f aca="false">COUNTIF('B12 바람과 흐름 잇기 — AI 대체 문장'!G2:G23,"수정필요")</f>
        <v>0</v>
      </c>
      <c r="G34" s="8" t="n">
        <f aca="false">COUNTIF('B12 바람과 흐름 잇기 — AI 대체 문장'!G2:G23,"삭제")</f>
        <v>0</v>
      </c>
      <c r="H34" s="8" t="n">
        <f aca="false">COUNTIF('B12 바람과 흐름 잇기 — AI 대체 문장'!G2:G23,"미검수")</f>
        <v>22</v>
      </c>
      <c r="I34" s="9" t="n">
        <f aca="false">IFERROR((E34+G34)/D34,0)</f>
        <v>0</v>
      </c>
    </row>
    <row r="35" customFormat="false" ht="15" hidden="false" customHeight="false" outlineLevel="0" collapsed="false">
      <c r="A35" s="7" t="s">
        <v>141</v>
      </c>
      <c r="B35" s="8" t="s">
        <v>142</v>
      </c>
      <c r="C35" s="7" t="s">
        <v>143</v>
      </c>
      <c r="D35" s="8" t="n">
        <f aca="false">COUNTA('C1 금지어·대체어 사전 (자동 검증용)'!A2:A80)</f>
        <v>79</v>
      </c>
      <c r="E35" s="8" t="n">
        <f aca="false">COUNTIF('C1 금지어·대체어 사전 (자동 검증용)'!H2:H80,"승인")</f>
        <v>0</v>
      </c>
      <c r="F35" s="8" t="n">
        <f aca="false">COUNTIF('C1 금지어·대체어 사전 (자동 검증용)'!H2:H80,"수정필요")</f>
        <v>0</v>
      </c>
      <c r="G35" s="8" t="n">
        <f aca="false">COUNTIF('C1 금지어·대체어 사전 (자동 검증용)'!H2:H80,"삭제")</f>
        <v>0</v>
      </c>
      <c r="H35" s="8" t="n">
        <f aca="false">COUNTIF('C1 금지어·대체어 사전 (자동 검증용)'!H2:H80,"미검수")</f>
        <v>79</v>
      </c>
      <c r="I35" s="9" t="n">
        <f aca="false">IFERROR((E35+G35)/D35,0)</f>
        <v>0</v>
      </c>
    </row>
    <row r="36" customFormat="false" ht="29.85" hidden="false" customHeight="false" outlineLevel="0" collapsed="false">
      <c r="A36" s="7" t="s">
        <v>144</v>
      </c>
      <c r="B36" s="8" t="s">
        <v>145</v>
      </c>
      <c r="C36" s="8" t="s">
        <v>146</v>
      </c>
      <c r="D36" s="8" t="n">
        <f aca="false">COUNTA('C2 점수·가중치 설정 (엔진용 데이터)'!A2:A69)</f>
        <v>68</v>
      </c>
      <c r="E36" s="8" t="n">
        <f aca="false">COUNTIF('C2 점수·가중치 설정 (엔진용 데이터)'!G2:G69,"승인")</f>
        <v>0</v>
      </c>
      <c r="F36" s="8" t="n">
        <f aca="false">COUNTIF('C2 점수·가중치 설정 (엔진용 데이터)'!G2:G69,"수정필요")</f>
        <v>0</v>
      </c>
      <c r="G36" s="8" t="n">
        <f aca="false">COUNTIF('C2 점수·가중치 설정 (엔진용 데이터)'!G2:G69,"삭제")</f>
        <v>0</v>
      </c>
      <c r="H36" s="8" t="n">
        <f aca="false">COUNTIF('C2 점수·가중치 설정 (엔진용 데이터)'!G2:G69,"미검수")</f>
        <v>68</v>
      </c>
      <c r="I36" s="9" t="n">
        <f aca="false">IFERROR((E36+G36)/D36,0)</f>
        <v>0</v>
      </c>
    </row>
    <row r="37" customFormat="false" ht="15" hidden="false" customHeight="false" outlineLevel="0" collapsed="false">
      <c r="A37" s="10" t="s">
        <v>147</v>
      </c>
      <c r="D37" s="10" t="n">
        <f aca="false">SUM(D2:D36)</f>
        <v>1366</v>
      </c>
      <c r="E37" s="10" t="n">
        <f aca="false">SUM(E2:E36)</f>
        <v>0</v>
      </c>
      <c r="F37" s="10" t="n">
        <f aca="false">SUM(F2:F36)</f>
        <v>0</v>
      </c>
      <c r="G37" s="10" t="n">
        <f aca="false">SUM(G2:G36)</f>
        <v>0</v>
      </c>
      <c r="H37" s="10" t="n">
        <f aca="false">SUM(H2:H36)</f>
        <v>1366</v>
      </c>
      <c r="I37" s="11" t="n">
        <f aca="false">IFERROR((E37+G37)/D37,0)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4" min="4" style="0" width="8"/>
    <col collapsed="false" customWidth="true" hidden="false" outlineLevel="0" max="5" min="5" style="0" width="16.5"/>
    <col collapsed="false" customWidth="true" hidden="false" outlineLevel="0" max="7" min="6" style="0" width="8"/>
    <col collapsed="false" customWidth="true" hidden="false" outlineLevel="0" max="8" min="8" style="0" width="12.1"/>
    <col collapsed="false" customWidth="true" hidden="false" outlineLevel="0" max="9" min="9" style="0" width="15.39"/>
    <col collapsed="false" customWidth="true" hidden="false" outlineLevel="0" max="10" min="10" style="0" width="35.2"/>
    <col collapsed="false" customWidth="true" hidden="false" outlineLevel="0" max="12" min="11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2" t="s">
        <v>148</v>
      </c>
      <c r="B1" s="13" t="s">
        <v>149</v>
      </c>
      <c r="C1" s="13" t="s">
        <v>150</v>
      </c>
      <c r="D1" s="13" t="s">
        <v>151</v>
      </c>
      <c r="E1" s="13" t="s">
        <v>152</v>
      </c>
      <c r="F1" s="13" t="s">
        <v>153</v>
      </c>
      <c r="G1" s="13" t="s">
        <v>154</v>
      </c>
      <c r="H1" s="13" t="s">
        <v>155</v>
      </c>
      <c r="I1" s="13" t="s">
        <v>156</v>
      </c>
      <c r="J1" s="13" t="s">
        <v>157</v>
      </c>
      <c r="K1" s="13" t="s">
        <v>158</v>
      </c>
      <c r="L1" s="13" t="s">
        <v>159</v>
      </c>
      <c r="M1" s="13" t="s">
        <v>160</v>
      </c>
      <c r="N1" s="13" t="s">
        <v>161</v>
      </c>
      <c r="O1" s="13" t="s">
        <v>162</v>
      </c>
    </row>
    <row r="2" customFormat="false" ht="44" hidden="false" customHeight="false" outlineLevel="0" collapsed="false">
      <c r="A2" s="14" t="s">
        <v>163</v>
      </c>
      <c r="B2" s="15" t="s">
        <v>164</v>
      </c>
      <c r="C2" s="14" t="s">
        <v>165</v>
      </c>
      <c r="D2" s="14" t="s">
        <v>166</v>
      </c>
      <c r="E2" s="14" t="s">
        <v>167</v>
      </c>
      <c r="F2" s="15" t="s">
        <v>168</v>
      </c>
      <c r="G2" s="15" t="s">
        <v>169</v>
      </c>
      <c r="H2" s="15" t="s">
        <v>170</v>
      </c>
      <c r="I2" s="15" t="s">
        <v>171</v>
      </c>
      <c r="J2" s="15" t="s">
        <v>172</v>
      </c>
      <c r="K2" s="15" t="s">
        <v>173</v>
      </c>
      <c r="L2" s="14" t="s">
        <v>174</v>
      </c>
      <c r="M2" s="16" t="s">
        <v>44</v>
      </c>
      <c r="N2" s="17"/>
      <c r="O2" s="17"/>
    </row>
    <row r="3" customFormat="false" ht="29.85" hidden="false" customHeight="false" outlineLevel="0" collapsed="false">
      <c r="A3" s="14" t="s">
        <v>175</v>
      </c>
      <c r="B3" s="15" t="s">
        <v>176</v>
      </c>
      <c r="C3" s="14" t="s">
        <v>177</v>
      </c>
      <c r="D3" s="14" t="s">
        <v>178</v>
      </c>
      <c r="E3" s="14" t="s">
        <v>179</v>
      </c>
      <c r="F3" s="15" t="s">
        <v>180</v>
      </c>
      <c r="G3" s="15" t="s">
        <v>181</v>
      </c>
      <c r="H3" s="15" t="s">
        <v>182</v>
      </c>
      <c r="I3" s="15" t="s">
        <v>183</v>
      </c>
      <c r="J3" s="15" t="s">
        <v>184</v>
      </c>
      <c r="K3" s="15" t="s">
        <v>185</v>
      </c>
      <c r="L3" s="15"/>
      <c r="M3" s="16" t="s">
        <v>44</v>
      </c>
      <c r="N3" s="17"/>
      <c r="O3" s="17"/>
    </row>
    <row r="4" customFormat="false" ht="29.85" hidden="false" customHeight="false" outlineLevel="0" collapsed="false">
      <c r="A4" s="14" t="s">
        <v>186</v>
      </c>
      <c r="B4" s="15" t="s">
        <v>187</v>
      </c>
      <c r="C4" s="14" t="s">
        <v>188</v>
      </c>
      <c r="D4" s="14" t="s">
        <v>189</v>
      </c>
      <c r="E4" s="14" t="s">
        <v>190</v>
      </c>
      <c r="F4" s="15" t="s">
        <v>191</v>
      </c>
      <c r="G4" s="15" t="s">
        <v>192</v>
      </c>
      <c r="H4" s="15" t="s">
        <v>193</v>
      </c>
      <c r="I4" s="15" t="s">
        <v>194</v>
      </c>
      <c r="J4" s="15" t="s">
        <v>195</v>
      </c>
      <c r="K4" s="15" t="s">
        <v>196</v>
      </c>
      <c r="L4" s="15"/>
      <c r="M4" s="16" t="s">
        <v>44</v>
      </c>
      <c r="N4" s="17"/>
      <c r="O4" s="17"/>
    </row>
    <row r="5" customFormat="false" ht="29.85" hidden="false" customHeight="false" outlineLevel="0" collapsed="false">
      <c r="A5" s="14" t="s">
        <v>197</v>
      </c>
      <c r="B5" s="15" t="s">
        <v>198</v>
      </c>
      <c r="C5" s="14" t="s">
        <v>199</v>
      </c>
      <c r="D5" s="14" t="s">
        <v>200</v>
      </c>
      <c r="E5" s="14" t="s">
        <v>201</v>
      </c>
      <c r="F5" s="15" t="s">
        <v>202</v>
      </c>
      <c r="G5" s="15" t="s">
        <v>169</v>
      </c>
      <c r="H5" s="15" t="s">
        <v>203</v>
      </c>
      <c r="I5" s="15" t="s">
        <v>204</v>
      </c>
      <c r="J5" s="15" t="s">
        <v>205</v>
      </c>
      <c r="K5" s="15" t="s">
        <v>206</v>
      </c>
      <c r="L5" s="15"/>
      <c r="M5" s="16" t="s">
        <v>44</v>
      </c>
      <c r="N5" s="17"/>
      <c r="O5" s="17"/>
    </row>
    <row r="6" customFormat="false" ht="44" hidden="false" customHeight="false" outlineLevel="0" collapsed="false">
      <c r="A6" s="14" t="s">
        <v>207</v>
      </c>
      <c r="B6" s="15" t="s">
        <v>208</v>
      </c>
      <c r="C6" s="14" t="s">
        <v>209</v>
      </c>
      <c r="D6" s="14" t="s">
        <v>210</v>
      </c>
      <c r="E6" s="14" t="s">
        <v>211</v>
      </c>
      <c r="F6" s="15" t="s">
        <v>168</v>
      </c>
      <c r="G6" s="15" t="s">
        <v>181</v>
      </c>
      <c r="H6" s="15" t="s">
        <v>212</v>
      </c>
      <c r="I6" s="15" t="s">
        <v>213</v>
      </c>
      <c r="J6" s="15" t="s">
        <v>214</v>
      </c>
      <c r="K6" s="15" t="s">
        <v>215</v>
      </c>
      <c r="L6" s="15"/>
      <c r="M6" s="16" t="s">
        <v>44</v>
      </c>
      <c r="N6" s="17"/>
      <c r="O6" s="17"/>
    </row>
    <row r="7" customFormat="false" ht="29.85" hidden="false" customHeight="false" outlineLevel="0" collapsed="false">
      <c r="A7" s="14" t="s">
        <v>216</v>
      </c>
      <c r="B7" s="15" t="s">
        <v>217</v>
      </c>
      <c r="C7" s="14" t="s">
        <v>218</v>
      </c>
      <c r="D7" s="14" t="s">
        <v>219</v>
      </c>
      <c r="E7" s="14" t="s">
        <v>220</v>
      </c>
      <c r="F7" s="15" t="s">
        <v>180</v>
      </c>
      <c r="G7" s="15" t="s">
        <v>192</v>
      </c>
      <c r="H7" s="15" t="s">
        <v>193</v>
      </c>
      <c r="I7" s="15" t="s">
        <v>221</v>
      </c>
      <c r="J7" s="15" t="s">
        <v>222</v>
      </c>
      <c r="K7" s="15" t="s">
        <v>223</v>
      </c>
      <c r="L7" s="15"/>
      <c r="M7" s="16" t="s">
        <v>44</v>
      </c>
      <c r="N7" s="17"/>
      <c r="O7" s="17"/>
    </row>
    <row r="8" customFormat="false" ht="29.85" hidden="false" customHeight="false" outlineLevel="0" collapsed="false">
      <c r="A8" s="14" t="s">
        <v>224</v>
      </c>
      <c r="B8" s="15" t="s">
        <v>225</v>
      </c>
      <c r="C8" s="14" t="s">
        <v>226</v>
      </c>
      <c r="D8" s="14" t="s">
        <v>227</v>
      </c>
      <c r="E8" s="14" t="s">
        <v>228</v>
      </c>
      <c r="F8" s="15" t="s">
        <v>191</v>
      </c>
      <c r="G8" s="15" t="s">
        <v>169</v>
      </c>
      <c r="H8" s="15" t="s">
        <v>182</v>
      </c>
      <c r="I8" s="15" t="s">
        <v>229</v>
      </c>
      <c r="J8" s="15" t="s">
        <v>230</v>
      </c>
      <c r="K8" s="15" t="s">
        <v>231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232</v>
      </c>
      <c r="B9" s="15" t="s">
        <v>233</v>
      </c>
      <c r="C9" s="14" t="s">
        <v>234</v>
      </c>
      <c r="D9" s="14" t="s">
        <v>235</v>
      </c>
      <c r="E9" s="14" t="s">
        <v>236</v>
      </c>
      <c r="F9" s="15" t="s">
        <v>202</v>
      </c>
      <c r="G9" s="15" t="s">
        <v>181</v>
      </c>
      <c r="H9" s="15" t="s">
        <v>237</v>
      </c>
      <c r="I9" s="15" t="s">
        <v>238</v>
      </c>
      <c r="J9" s="15" t="s">
        <v>239</v>
      </c>
      <c r="K9" s="15" t="s">
        <v>240</v>
      </c>
      <c r="L9" s="15" t="s">
        <v>241</v>
      </c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242</v>
      </c>
      <c r="B10" s="15" t="s">
        <v>243</v>
      </c>
      <c r="C10" s="14" t="s">
        <v>244</v>
      </c>
      <c r="D10" s="14" t="s">
        <v>245</v>
      </c>
      <c r="E10" s="14" t="s">
        <v>246</v>
      </c>
      <c r="F10" s="15" t="s">
        <v>168</v>
      </c>
      <c r="G10" s="15" t="s">
        <v>192</v>
      </c>
      <c r="H10" s="15" t="s">
        <v>247</v>
      </c>
      <c r="I10" s="15" t="s">
        <v>248</v>
      </c>
      <c r="J10" s="15" t="s">
        <v>249</v>
      </c>
      <c r="K10" s="15" t="s">
        <v>250</v>
      </c>
      <c r="L10" s="15"/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251</v>
      </c>
      <c r="B11" s="15" t="s">
        <v>252</v>
      </c>
      <c r="C11" s="14" t="s">
        <v>253</v>
      </c>
      <c r="D11" s="14" t="s">
        <v>254</v>
      </c>
      <c r="E11" s="14" t="s">
        <v>255</v>
      </c>
      <c r="F11" s="15" t="s">
        <v>180</v>
      </c>
      <c r="G11" s="15" t="s">
        <v>169</v>
      </c>
      <c r="H11" s="15" t="s">
        <v>256</v>
      </c>
      <c r="I11" s="15" t="s">
        <v>257</v>
      </c>
      <c r="J11" s="15" t="s">
        <v>258</v>
      </c>
      <c r="K11" s="15" t="s">
        <v>259</v>
      </c>
      <c r="L11" s="15"/>
      <c r="M11" s="16" t="s">
        <v>44</v>
      </c>
      <c r="N11" s="17"/>
      <c r="O11" s="17"/>
    </row>
    <row r="12" customFormat="false" ht="29.85" hidden="false" customHeight="false" outlineLevel="0" collapsed="false">
      <c r="A12" s="14" t="s">
        <v>260</v>
      </c>
      <c r="B12" s="15" t="s">
        <v>261</v>
      </c>
      <c r="C12" s="14" t="s">
        <v>262</v>
      </c>
      <c r="D12" s="14" t="s">
        <v>263</v>
      </c>
      <c r="E12" s="14" t="s">
        <v>264</v>
      </c>
      <c r="F12" s="15" t="s">
        <v>191</v>
      </c>
      <c r="G12" s="15" t="s">
        <v>181</v>
      </c>
      <c r="H12" s="15" t="s">
        <v>265</v>
      </c>
      <c r="I12" s="15" t="s">
        <v>266</v>
      </c>
      <c r="J12" s="15" t="s">
        <v>267</v>
      </c>
      <c r="K12" s="15" t="s">
        <v>268</v>
      </c>
      <c r="L12" s="15"/>
      <c r="M12" s="16" t="s">
        <v>44</v>
      </c>
      <c r="N12" s="17"/>
      <c r="O12" s="17"/>
    </row>
    <row r="13" customFormat="false" ht="29.85" hidden="false" customHeight="false" outlineLevel="0" collapsed="false">
      <c r="A13" s="14" t="s">
        <v>269</v>
      </c>
      <c r="B13" s="15" t="s">
        <v>270</v>
      </c>
      <c r="C13" s="14" t="s">
        <v>271</v>
      </c>
      <c r="D13" s="14" t="s">
        <v>272</v>
      </c>
      <c r="E13" s="14" t="s">
        <v>273</v>
      </c>
      <c r="F13" s="15" t="s">
        <v>202</v>
      </c>
      <c r="G13" s="15" t="s">
        <v>192</v>
      </c>
      <c r="H13" s="15" t="s">
        <v>274</v>
      </c>
      <c r="I13" s="15" t="s">
        <v>275</v>
      </c>
      <c r="J13" s="15" t="s">
        <v>276</v>
      </c>
      <c r="K13" s="15" t="s">
        <v>277</v>
      </c>
      <c r="L13" s="15"/>
      <c r="M13" s="16" t="s">
        <v>44</v>
      </c>
      <c r="N13" s="17"/>
      <c r="O13" s="17"/>
    </row>
  </sheetData>
  <autoFilter ref="A1:O13"/>
  <dataValidations count="1">
    <dataValidation allowBlank="false" errorStyle="stop" operator="between" showDropDown="false" showErrorMessage="false" showInputMessage="false" sqref="M2:M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42.9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148</v>
      </c>
      <c r="B1" s="13" t="s">
        <v>149</v>
      </c>
      <c r="C1" s="13" t="s">
        <v>278</v>
      </c>
      <c r="D1" s="13" t="s">
        <v>279</v>
      </c>
      <c r="E1" s="13" t="s">
        <v>280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44" hidden="false" customHeight="false" outlineLevel="0" collapsed="false">
      <c r="A2" s="14" t="s">
        <v>281</v>
      </c>
      <c r="B2" s="15" t="s">
        <v>164</v>
      </c>
      <c r="C2" s="15" t="s">
        <v>282</v>
      </c>
      <c r="D2" s="15" t="s">
        <v>283</v>
      </c>
      <c r="E2" s="15" t="s">
        <v>284</v>
      </c>
      <c r="F2" s="15"/>
      <c r="G2" s="16" t="s">
        <v>44</v>
      </c>
      <c r="H2" s="17"/>
      <c r="I2" s="17"/>
    </row>
    <row r="3" customFormat="false" ht="55.95" hidden="false" customHeight="false" outlineLevel="0" collapsed="false">
      <c r="A3" s="14" t="s">
        <v>285</v>
      </c>
      <c r="B3" s="15" t="s">
        <v>176</v>
      </c>
      <c r="C3" s="15" t="s">
        <v>286</v>
      </c>
      <c r="D3" s="15" t="s">
        <v>287</v>
      </c>
      <c r="E3" s="15" t="s">
        <v>288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289</v>
      </c>
      <c r="B4" s="15" t="s">
        <v>187</v>
      </c>
      <c r="C4" s="15" t="s">
        <v>290</v>
      </c>
      <c r="D4" s="15" t="s">
        <v>291</v>
      </c>
      <c r="E4" s="15" t="s">
        <v>292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293</v>
      </c>
      <c r="B5" s="15" t="s">
        <v>198</v>
      </c>
      <c r="C5" s="15" t="s">
        <v>294</v>
      </c>
      <c r="D5" s="15" t="s">
        <v>295</v>
      </c>
      <c r="E5" s="15" t="s">
        <v>296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297</v>
      </c>
      <c r="B6" s="15" t="s">
        <v>208</v>
      </c>
      <c r="C6" s="15" t="s">
        <v>298</v>
      </c>
      <c r="D6" s="15" t="s">
        <v>299</v>
      </c>
      <c r="E6" s="15" t="s">
        <v>300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301</v>
      </c>
      <c r="B7" s="15" t="s">
        <v>217</v>
      </c>
      <c r="C7" s="15" t="s">
        <v>302</v>
      </c>
      <c r="D7" s="15" t="s">
        <v>303</v>
      </c>
      <c r="E7" s="15" t="s">
        <v>304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305</v>
      </c>
      <c r="B8" s="15" t="s">
        <v>225</v>
      </c>
      <c r="C8" s="15" t="s">
        <v>306</v>
      </c>
      <c r="D8" s="15" t="s">
        <v>307</v>
      </c>
      <c r="E8" s="15" t="s">
        <v>308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309</v>
      </c>
      <c r="B9" s="15" t="s">
        <v>233</v>
      </c>
      <c r="C9" s="15" t="s">
        <v>310</v>
      </c>
      <c r="D9" s="15" t="s">
        <v>311</v>
      </c>
      <c r="E9" s="15" t="s">
        <v>312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313</v>
      </c>
      <c r="B10" s="15" t="s">
        <v>243</v>
      </c>
      <c r="C10" s="15" t="s">
        <v>314</v>
      </c>
      <c r="D10" s="15" t="s">
        <v>315</v>
      </c>
      <c r="E10" s="15" t="s">
        <v>316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317</v>
      </c>
      <c r="B11" s="15" t="s">
        <v>252</v>
      </c>
      <c r="C11" s="15" t="s">
        <v>318</v>
      </c>
      <c r="D11" s="15" t="s">
        <v>319</v>
      </c>
      <c r="E11" s="15" t="s">
        <v>320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321</v>
      </c>
      <c r="B12" s="15" t="s">
        <v>261</v>
      </c>
      <c r="C12" s="15" t="s">
        <v>322</v>
      </c>
      <c r="D12" s="15" t="s">
        <v>323</v>
      </c>
      <c r="E12" s="15" t="s">
        <v>324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325</v>
      </c>
      <c r="B13" s="15" t="s">
        <v>270</v>
      </c>
      <c r="C13" s="15" t="s">
        <v>326</v>
      </c>
      <c r="D13" s="15" t="s">
        <v>327</v>
      </c>
      <c r="E13" s="15" t="s">
        <v>328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51.7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148</v>
      </c>
      <c r="B1" s="13" t="s">
        <v>149</v>
      </c>
      <c r="C1" s="13" t="s">
        <v>278</v>
      </c>
      <c r="D1" s="13" t="s">
        <v>279</v>
      </c>
      <c r="E1" s="13" t="s">
        <v>329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58.2" hidden="false" customHeight="false" outlineLevel="0" collapsed="false">
      <c r="A2" s="14" t="s">
        <v>330</v>
      </c>
      <c r="B2" s="15" t="s">
        <v>164</v>
      </c>
      <c r="C2" s="15" t="s">
        <v>331</v>
      </c>
      <c r="D2" s="15" t="s">
        <v>332</v>
      </c>
      <c r="E2" s="15" t="s">
        <v>333</v>
      </c>
      <c r="F2" s="15"/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334</v>
      </c>
      <c r="B3" s="15" t="s">
        <v>176</v>
      </c>
      <c r="C3" s="15" t="s">
        <v>335</v>
      </c>
      <c r="D3" s="15" t="s">
        <v>336</v>
      </c>
      <c r="E3" s="15" t="s">
        <v>337</v>
      </c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338</v>
      </c>
      <c r="B4" s="15" t="s">
        <v>187</v>
      </c>
      <c r="C4" s="15" t="s">
        <v>339</v>
      </c>
      <c r="D4" s="15" t="s">
        <v>340</v>
      </c>
      <c r="E4" s="15" t="s">
        <v>341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342</v>
      </c>
      <c r="B5" s="15" t="s">
        <v>198</v>
      </c>
      <c r="C5" s="15" t="s">
        <v>343</v>
      </c>
      <c r="D5" s="15" t="s">
        <v>344</v>
      </c>
      <c r="E5" s="15" t="s">
        <v>345</v>
      </c>
      <c r="F5" s="15"/>
      <c r="G5" s="16" t="s">
        <v>44</v>
      </c>
      <c r="H5" s="17"/>
      <c r="I5" s="17"/>
    </row>
    <row r="6" customFormat="false" ht="58.2" hidden="false" customHeight="false" outlineLevel="0" collapsed="false">
      <c r="A6" s="14" t="s">
        <v>346</v>
      </c>
      <c r="B6" s="15" t="s">
        <v>208</v>
      </c>
      <c r="C6" s="15" t="s">
        <v>347</v>
      </c>
      <c r="D6" s="15" t="s">
        <v>348</v>
      </c>
      <c r="E6" s="15" t="s">
        <v>349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350</v>
      </c>
      <c r="B7" s="15" t="s">
        <v>217</v>
      </c>
      <c r="C7" s="15" t="s">
        <v>351</v>
      </c>
      <c r="D7" s="15" t="s">
        <v>352</v>
      </c>
      <c r="E7" s="15" t="s">
        <v>353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354</v>
      </c>
      <c r="B8" s="15" t="s">
        <v>225</v>
      </c>
      <c r="C8" s="15" t="s">
        <v>355</v>
      </c>
      <c r="D8" s="15" t="s">
        <v>356</v>
      </c>
      <c r="E8" s="15" t="s">
        <v>357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358</v>
      </c>
      <c r="B9" s="15" t="s">
        <v>233</v>
      </c>
      <c r="C9" s="15" t="s">
        <v>359</v>
      </c>
      <c r="D9" s="15" t="s">
        <v>360</v>
      </c>
      <c r="E9" s="15" t="s">
        <v>361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362</v>
      </c>
      <c r="B10" s="15" t="s">
        <v>243</v>
      </c>
      <c r="C10" s="15" t="s">
        <v>363</v>
      </c>
      <c r="D10" s="15" t="s">
        <v>364</v>
      </c>
      <c r="E10" s="15" t="s">
        <v>365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366</v>
      </c>
      <c r="B11" s="15" t="s">
        <v>252</v>
      </c>
      <c r="C11" s="15" t="s">
        <v>367</v>
      </c>
      <c r="D11" s="15" t="s">
        <v>368</v>
      </c>
      <c r="E11" s="15" t="s">
        <v>369</v>
      </c>
      <c r="F11" s="15"/>
      <c r="G11" s="16" t="s">
        <v>44</v>
      </c>
      <c r="H11" s="17"/>
      <c r="I11" s="17"/>
    </row>
    <row r="12" customFormat="false" ht="58.2" hidden="false" customHeight="false" outlineLevel="0" collapsed="false">
      <c r="A12" s="14" t="s">
        <v>370</v>
      </c>
      <c r="B12" s="15" t="s">
        <v>261</v>
      </c>
      <c r="C12" s="15" t="s">
        <v>371</v>
      </c>
      <c r="D12" s="15" t="s">
        <v>372</v>
      </c>
      <c r="E12" s="15" t="s">
        <v>373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374</v>
      </c>
      <c r="B13" s="15" t="s">
        <v>270</v>
      </c>
      <c r="C13" s="15" t="s">
        <v>375</v>
      </c>
      <c r="D13" s="15" t="s">
        <v>376</v>
      </c>
      <c r="E13" s="15" t="s">
        <v>377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148</v>
      </c>
      <c r="B1" s="13" t="s">
        <v>149</v>
      </c>
      <c r="C1" s="13" t="s">
        <v>278</v>
      </c>
      <c r="D1" s="13" t="s">
        <v>279</v>
      </c>
      <c r="E1" s="13" t="s">
        <v>159</v>
      </c>
      <c r="F1" s="13" t="s">
        <v>160</v>
      </c>
      <c r="G1" s="13" t="s">
        <v>161</v>
      </c>
      <c r="H1" s="13" t="s">
        <v>162</v>
      </c>
    </row>
    <row r="2" customFormat="false" ht="44" hidden="false" customHeight="false" outlineLevel="0" collapsed="false">
      <c r="A2" s="14" t="s">
        <v>378</v>
      </c>
      <c r="B2" s="15" t="s">
        <v>164</v>
      </c>
      <c r="C2" s="15" t="s">
        <v>379</v>
      </c>
      <c r="D2" s="15" t="s">
        <v>380</v>
      </c>
      <c r="E2" s="15" t="s">
        <v>381</v>
      </c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382</v>
      </c>
      <c r="B3" s="15" t="s">
        <v>176</v>
      </c>
      <c r="C3" s="15" t="s">
        <v>383</v>
      </c>
      <c r="D3" s="15" t="s">
        <v>384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385</v>
      </c>
      <c r="B4" s="15" t="s">
        <v>187</v>
      </c>
      <c r="C4" s="15" t="s">
        <v>386</v>
      </c>
      <c r="D4" s="15" t="s">
        <v>387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388</v>
      </c>
      <c r="B5" s="15" t="s">
        <v>198</v>
      </c>
      <c r="C5" s="15" t="s">
        <v>389</v>
      </c>
      <c r="D5" s="15" t="s">
        <v>390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391</v>
      </c>
      <c r="B6" s="15" t="s">
        <v>208</v>
      </c>
      <c r="C6" s="15" t="s">
        <v>392</v>
      </c>
      <c r="D6" s="15" t="s">
        <v>393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394</v>
      </c>
      <c r="B7" s="15" t="s">
        <v>217</v>
      </c>
      <c r="C7" s="15" t="s">
        <v>395</v>
      </c>
      <c r="D7" s="15" t="s">
        <v>396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397</v>
      </c>
      <c r="B8" s="15" t="s">
        <v>225</v>
      </c>
      <c r="C8" s="15" t="s">
        <v>398</v>
      </c>
      <c r="D8" s="15" t="s">
        <v>399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400</v>
      </c>
      <c r="B9" s="15" t="s">
        <v>233</v>
      </c>
      <c r="C9" s="15" t="s">
        <v>401</v>
      </c>
      <c r="D9" s="15" t="s">
        <v>402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403</v>
      </c>
      <c r="B10" s="15" t="s">
        <v>243</v>
      </c>
      <c r="C10" s="15" t="s">
        <v>404</v>
      </c>
      <c r="D10" s="15" t="s">
        <v>405</v>
      </c>
      <c r="E10" s="15"/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406</v>
      </c>
      <c r="B11" s="15" t="s">
        <v>252</v>
      </c>
      <c r="C11" s="15" t="s">
        <v>407</v>
      </c>
      <c r="D11" s="15" t="s">
        <v>408</v>
      </c>
      <c r="E11" s="15"/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409</v>
      </c>
      <c r="B12" s="15" t="s">
        <v>261</v>
      </c>
      <c r="C12" s="15" t="s">
        <v>410</v>
      </c>
      <c r="D12" s="15" t="s">
        <v>411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412</v>
      </c>
      <c r="B13" s="15" t="s">
        <v>270</v>
      </c>
      <c r="C13" s="15" t="s">
        <v>413</v>
      </c>
      <c r="D13" s="15" t="s">
        <v>414</v>
      </c>
      <c r="E13" s="15"/>
      <c r="F13" s="16" t="s">
        <v>44</v>
      </c>
      <c r="G13" s="17"/>
      <c r="H13" s="17"/>
    </row>
  </sheetData>
  <autoFilter ref="A1:H13"/>
  <dataValidations count="1">
    <dataValidation allowBlank="false" errorStyle="stop" operator="between" showDropDown="false" showErrorMessage="false" showInputMessage="false" sqref="F2:F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34.1"/>
    <col collapsed="false" customWidth="true" hidden="false" outlineLevel="0" max="10" min="8" style="0" width="55"/>
    <col collapsed="false" customWidth="true" hidden="false" outlineLevel="0" max="11" min="11" style="0" width="50.6"/>
    <col collapsed="false" customWidth="true" hidden="false" outlineLevel="0" max="12" min="12" style="0" width="53.9"/>
    <col collapsed="false" customWidth="true" hidden="false" outlineLevel="0" max="13" min="13" style="0" width="49.51"/>
    <col collapsed="false" customWidth="true" hidden="false" outlineLevel="0" max="14" min="14" style="0" width="30.8"/>
    <col collapsed="false" customWidth="true" hidden="false" outlineLevel="0" max="15" min="15" style="0" width="55"/>
    <col collapsed="false" customWidth="true" hidden="false" outlineLevel="0" max="16" min="16" style="0" width="15.39"/>
    <col collapsed="false" customWidth="true" hidden="false" outlineLevel="0" max="18" min="17" style="0" width="40"/>
  </cols>
  <sheetData>
    <row r="1" customFormat="false" ht="29.85" hidden="false" customHeight="false" outlineLevel="0" collapsed="false">
      <c r="A1" s="12" t="s">
        <v>148</v>
      </c>
      <c r="B1" s="13" t="s">
        <v>415</v>
      </c>
      <c r="C1" s="13" t="s">
        <v>416</v>
      </c>
      <c r="D1" s="13" t="s">
        <v>417</v>
      </c>
      <c r="E1" s="13" t="s">
        <v>418</v>
      </c>
      <c r="F1" s="13" t="s">
        <v>153</v>
      </c>
      <c r="G1" s="13" t="s">
        <v>419</v>
      </c>
      <c r="H1" s="13" t="s">
        <v>420</v>
      </c>
      <c r="I1" s="13" t="s">
        <v>421</v>
      </c>
      <c r="J1" s="13" t="s">
        <v>422</v>
      </c>
      <c r="K1" s="13" t="s">
        <v>423</v>
      </c>
      <c r="L1" s="13" t="s">
        <v>424</v>
      </c>
      <c r="M1" s="13" t="s">
        <v>425</v>
      </c>
      <c r="N1" s="13" t="s">
        <v>426</v>
      </c>
      <c r="O1" s="13" t="s">
        <v>159</v>
      </c>
      <c r="P1" s="13" t="s">
        <v>160</v>
      </c>
      <c r="Q1" s="13" t="s">
        <v>161</v>
      </c>
      <c r="R1" s="13" t="s">
        <v>162</v>
      </c>
    </row>
    <row r="2" customFormat="false" ht="58.2" hidden="false" customHeight="false" outlineLevel="0" collapsed="false">
      <c r="A2" s="14" t="s">
        <v>427</v>
      </c>
      <c r="B2" s="15" t="s">
        <v>428</v>
      </c>
      <c r="C2" s="15" t="s">
        <v>429</v>
      </c>
      <c r="D2" s="15" t="s">
        <v>430</v>
      </c>
      <c r="E2" s="15" t="s">
        <v>203</v>
      </c>
      <c r="F2" s="15" t="s">
        <v>168</v>
      </c>
      <c r="G2" s="14" t="s">
        <v>431</v>
      </c>
      <c r="H2" s="15" t="s">
        <v>432</v>
      </c>
      <c r="I2" s="15" t="s">
        <v>433</v>
      </c>
      <c r="J2" s="15" t="s">
        <v>434</v>
      </c>
      <c r="K2" s="15" t="s">
        <v>435</v>
      </c>
      <c r="L2" s="15" t="s">
        <v>436</v>
      </c>
      <c r="M2" s="15" t="s">
        <v>437</v>
      </c>
      <c r="N2" s="15" t="s">
        <v>438</v>
      </c>
      <c r="O2" s="15" t="s">
        <v>439</v>
      </c>
      <c r="P2" s="16" t="s">
        <v>44</v>
      </c>
      <c r="Q2" s="17"/>
      <c r="R2" s="17"/>
    </row>
    <row r="3" customFormat="false" ht="58.2" hidden="false" customHeight="false" outlineLevel="0" collapsed="false">
      <c r="A3" s="14" t="s">
        <v>440</v>
      </c>
      <c r="B3" s="15" t="s">
        <v>441</v>
      </c>
      <c r="C3" s="15" t="s">
        <v>429</v>
      </c>
      <c r="D3" s="15" t="s">
        <v>442</v>
      </c>
      <c r="E3" s="15" t="s">
        <v>203</v>
      </c>
      <c r="F3" s="15" t="s">
        <v>202</v>
      </c>
      <c r="G3" s="14" t="s">
        <v>443</v>
      </c>
      <c r="H3" s="15" t="s">
        <v>444</v>
      </c>
      <c r="I3" s="15" t="s">
        <v>445</v>
      </c>
      <c r="J3" s="15" t="s">
        <v>446</v>
      </c>
      <c r="K3" s="15" t="s">
        <v>447</v>
      </c>
      <c r="L3" s="15" t="s">
        <v>448</v>
      </c>
      <c r="M3" s="15" t="s">
        <v>449</v>
      </c>
      <c r="N3" s="15" t="s">
        <v>450</v>
      </c>
      <c r="O3" s="15" t="s">
        <v>451</v>
      </c>
      <c r="P3" s="16" t="s">
        <v>44</v>
      </c>
      <c r="Q3" s="17"/>
      <c r="R3" s="17"/>
    </row>
    <row r="4" customFormat="false" ht="58.2" hidden="false" customHeight="false" outlineLevel="0" collapsed="false">
      <c r="A4" s="14" t="s">
        <v>452</v>
      </c>
      <c r="B4" s="15" t="s">
        <v>453</v>
      </c>
      <c r="C4" s="15" t="s">
        <v>429</v>
      </c>
      <c r="D4" s="15" t="s">
        <v>454</v>
      </c>
      <c r="E4" s="15" t="s">
        <v>203</v>
      </c>
      <c r="F4" s="15" t="s">
        <v>191</v>
      </c>
      <c r="G4" s="14" t="s">
        <v>455</v>
      </c>
      <c r="H4" s="15" t="s">
        <v>456</v>
      </c>
      <c r="I4" s="15" t="s">
        <v>457</v>
      </c>
      <c r="J4" s="15" t="s">
        <v>458</v>
      </c>
      <c r="K4" s="15" t="s">
        <v>459</v>
      </c>
      <c r="L4" s="15" t="s">
        <v>460</v>
      </c>
      <c r="M4" s="15" t="s">
        <v>461</v>
      </c>
      <c r="N4" s="15" t="s">
        <v>462</v>
      </c>
      <c r="O4" s="15" t="s">
        <v>463</v>
      </c>
      <c r="P4" s="16" t="s">
        <v>44</v>
      </c>
      <c r="Q4" s="17"/>
      <c r="R4" s="17"/>
    </row>
    <row r="5" customFormat="false" ht="58.2" hidden="false" customHeight="false" outlineLevel="0" collapsed="false">
      <c r="A5" s="14" t="s">
        <v>464</v>
      </c>
      <c r="B5" s="15" t="s">
        <v>465</v>
      </c>
      <c r="C5" s="15" t="s">
        <v>429</v>
      </c>
      <c r="D5" s="15" t="s">
        <v>466</v>
      </c>
      <c r="E5" s="15" t="s">
        <v>203</v>
      </c>
      <c r="F5" s="15" t="s">
        <v>180</v>
      </c>
      <c r="G5" s="14" t="s">
        <v>467</v>
      </c>
      <c r="H5" s="15" t="s">
        <v>468</v>
      </c>
      <c r="I5" s="15" t="s">
        <v>469</v>
      </c>
      <c r="J5" s="15" t="s">
        <v>470</v>
      </c>
      <c r="K5" s="15" t="s">
        <v>471</v>
      </c>
      <c r="L5" s="15" t="s">
        <v>472</v>
      </c>
      <c r="M5" s="15" t="s">
        <v>473</v>
      </c>
      <c r="N5" s="15" t="s">
        <v>474</v>
      </c>
      <c r="O5" s="15" t="s">
        <v>475</v>
      </c>
      <c r="P5" s="16" t="s">
        <v>44</v>
      </c>
      <c r="Q5" s="17"/>
      <c r="R5" s="17"/>
    </row>
    <row r="6" customFormat="false" ht="58.2" hidden="false" customHeight="false" outlineLevel="0" collapsed="false">
      <c r="A6" s="14" t="s">
        <v>476</v>
      </c>
      <c r="B6" s="15" t="s">
        <v>477</v>
      </c>
      <c r="C6" s="15" t="s">
        <v>478</v>
      </c>
      <c r="D6" s="15" t="s">
        <v>430</v>
      </c>
      <c r="E6" s="15" t="s">
        <v>256</v>
      </c>
      <c r="F6" s="15" t="s">
        <v>168</v>
      </c>
      <c r="G6" s="14" t="s">
        <v>479</v>
      </c>
      <c r="H6" s="15" t="s">
        <v>480</v>
      </c>
      <c r="I6" s="15" t="s">
        <v>481</v>
      </c>
      <c r="J6" s="15" t="s">
        <v>482</v>
      </c>
      <c r="K6" s="15" t="s">
        <v>483</v>
      </c>
      <c r="L6" s="15" t="s">
        <v>484</v>
      </c>
      <c r="M6" s="15" t="s">
        <v>485</v>
      </c>
      <c r="N6" s="15" t="s">
        <v>486</v>
      </c>
      <c r="O6" s="15" t="s">
        <v>487</v>
      </c>
      <c r="P6" s="16" t="s">
        <v>44</v>
      </c>
      <c r="Q6" s="17"/>
      <c r="R6" s="17"/>
    </row>
    <row r="7" customFormat="false" ht="58.2" hidden="false" customHeight="false" outlineLevel="0" collapsed="false">
      <c r="A7" s="14" t="s">
        <v>488</v>
      </c>
      <c r="B7" s="15" t="s">
        <v>489</v>
      </c>
      <c r="C7" s="15" t="s">
        <v>478</v>
      </c>
      <c r="D7" s="15" t="s">
        <v>442</v>
      </c>
      <c r="E7" s="15" t="s">
        <v>256</v>
      </c>
      <c r="F7" s="15" t="s">
        <v>202</v>
      </c>
      <c r="G7" s="14" t="s">
        <v>490</v>
      </c>
      <c r="H7" s="15" t="s">
        <v>491</v>
      </c>
      <c r="I7" s="15" t="s">
        <v>492</v>
      </c>
      <c r="J7" s="15" t="s">
        <v>493</v>
      </c>
      <c r="K7" s="15" t="s">
        <v>494</v>
      </c>
      <c r="L7" s="15" t="s">
        <v>495</v>
      </c>
      <c r="M7" s="15" t="s">
        <v>496</v>
      </c>
      <c r="N7" s="15" t="s">
        <v>497</v>
      </c>
      <c r="O7" s="15" t="s">
        <v>475</v>
      </c>
      <c r="P7" s="16" t="s">
        <v>44</v>
      </c>
      <c r="Q7" s="17"/>
      <c r="R7" s="17"/>
    </row>
    <row r="8" customFormat="false" ht="58.2" hidden="false" customHeight="false" outlineLevel="0" collapsed="false">
      <c r="A8" s="14" t="s">
        <v>498</v>
      </c>
      <c r="B8" s="15" t="s">
        <v>499</v>
      </c>
      <c r="C8" s="15" t="s">
        <v>478</v>
      </c>
      <c r="D8" s="15" t="s">
        <v>454</v>
      </c>
      <c r="E8" s="15" t="s">
        <v>256</v>
      </c>
      <c r="F8" s="15" t="s">
        <v>191</v>
      </c>
      <c r="G8" s="14" t="s">
        <v>500</v>
      </c>
      <c r="H8" s="15" t="s">
        <v>501</v>
      </c>
      <c r="I8" s="15" t="s">
        <v>502</v>
      </c>
      <c r="J8" s="15" t="s">
        <v>503</v>
      </c>
      <c r="K8" s="15" t="s">
        <v>504</v>
      </c>
      <c r="L8" s="15" t="s">
        <v>505</v>
      </c>
      <c r="M8" s="15" t="s">
        <v>506</v>
      </c>
      <c r="N8" s="15" t="s">
        <v>507</v>
      </c>
      <c r="O8" s="15" t="s">
        <v>475</v>
      </c>
      <c r="P8" s="16" t="s">
        <v>44</v>
      </c>
      <c r="Q8" s="17"/>
      <c r="R8" s="17"/>
    </row>
    <row r="9" customFormat="false" ht="58.2" hidden="false" customHeight="false" outlineLevel="0" collapsed="false">
      <c r="A9" s="14" t="s">
        <v>508</v>
      </c>
      <c r="B9" s="15" t="s">
        <v>509</v>
      </c>
      <c r="C9" s="15" t="s">
        <v>478</v>
      </c>
      <c r="D9" s="15" t="s">
        <v>466</v>
      </c>
      <c r="E9" s="15" t="s">
        <v>256</v>
      </c>
      <c r="F9" s="15" t="s">
        <v>180</v>
      </c>
      <c r="G9" s="14" t="s">
        <v>510</v>
      </c>
      <c r="H9" s="15" t="s">
        <v>511</v>
      </c>
      <c r="I9" s="15" t="s">
        <v>512</v>
      </c>
      <c r="J9" s="15" t="s">
        <v>513</v>
      </c>
      <c r="K9" s="15" t="s">
        <v>514</v>
      </c>
      <c r="L9" s="15" t="s">
        <v>515</v>
      </c>
      <c r="M9" s="15" t="s">
        <v>516</v>
      </c>
      <c r="N9" s="15" t="s">
        <v>517</v>
      </c>
      <c r="O9" s="15" t="s">
        <v>518</v>
      </c>
      <c r="P9" s="16" t="s">
        <v>44</v>
      </c>
      <c r="Q9" s="17"/>
      <c r="R9" s="17"/>
    </row>
    <row r="10" customFormat="false" ht="58.2" hidden="false" customHeight="false" outlineLevel="0" collapsed="false">
      <c r="A10" s="14" t="s">
        <v>519</v>
      </c>
      <c r="B10" s="15" t="s">
        <v>520</v>
      </c>
      <c r="C10" s="15" t="s">
        <v>521</v>
      </c>
      <c r="D10" s="15" t="s">
        <v>430</v>
      </c>
      <c r="E10" s="15" t="s">
        <v>170</v>
      </c>
      <c r="F10" s="15" t="s">
        <v>168</v>
      </c>
      <c r="G10" s="14" t="s">
        <v>522</v>
      </c>
      <c r="H10" s="15" t="s">
        <v>523</v>
      </c>
      <c r="I10" s="15" t="s">
        <v>524</v>
      </c>
      <c r="J10" s="15" t="s">
        <v>525</v>
      </c>
      <c r="K10" s="15" t="s">
        <v>526</v>
      </c>
      <c r="L10" s="15" t="s">
        <v>527</v>
      </c>
      <c r="M10" s="15" t="s">
        <v>528</v>
      </c>
      <c r="N10" s="15" t="s">
        <v>529</v>
      </c>
      <c r="O10" s="15" t="s">
        <v>530</v>
      </c>
      <c r="P10" s="16" t="s">
        <v>44</v>
      </c>
      <c r="Q10" s="17"/>
      <c r="R10" s="17"/>
    </row>
    <row r="11" customFormat="false" ht="58.2" hidden="false" customHeight="false" outlineLevel="0" collapsed="false">
      <c r="A11" s="14" t="s">
        <v>531</v>
      </c>
      <c r="B11" s="15" t="s">
        <v>532</v>
      </c>
      <c r="C11" s="15" t="s">
        <v>521</v>
      </c>
      <c r="D11" s="15" t="s">
        <v>442</v>
      </c>
      <c r="E11" s="15" t="s">
        <v>170</v>
      </c>
      <c r="F11" s="15" t="s">
        <v>202</v>
      </c>
      <c r="G11" s="14" t="s">
        <v>533</v>
      </c>
      <c r="H11" s="15" t="s">
        <v>534</v>
      </c>
      <c r="I11" s="15" t="s">
        <v>535</v>
      </c>
      <c r="J11" s="15" t="s">
        <v>536</v>
      </c>
      <c r="K11" s="15" t="s">
        <v>537</v>
      </c>
      <c r="L11" s="15" t="s">
        <v>538</v>
      </c>
      <c r="M11" s="15" t="s">
        <v>539</v>
      </c>
      <c r="N11" s="15" t="s">
        <v>540</v>
      </c>
      <c r="O11" s="15" t="s">
        <v>541</v>
      </c>
      <c r="P11" s="16" t="s">
        <v>44</v>
      </c>
      <c r="Q11" s="17"/>
      <c r="R11" s="17"/>
    </row>
    <row r="12" customFormat="false" ht="58.2" hidden="false" customHeight="false" outlineLevel="0" collapsed="false">
      <c r="A12" s="14" t="s">
        <v>542</v>
      </c>
      <c r="B12" s="15" t="s">
        <v>543</v>
      </c>
      <c r="C12" s="15" t="s">
        <v>521</v>
      </c>
      <c r="D12" s="15" t="s">
        <v>454</v>
      </c>
      <c r="E12" s="15" t="s">
        <v>170</v>
      </c>
      <c r="F12" s="15" t="s">
        <v>191</v>
      </c>
      <c r="G12" s="14" t="s">
        <v>544</v>
      </c>
      <c r="H12" s="15" t="s">
        <v>545</v>
      </c>
      <c r="I12" s="15" t="s">
        <v>546</v>
      </c>
      <c r="J12" s="15" t="s">
        <v>547</v>
      </c>
      <c r="K12" s="15" t="s">
        <v>548</v>
      </c>
      <c r="L12" s="15" t="s">
        <v>549</v>
      </c>
      <c r="M12" s="15" t="s">
        <v>550</v>
      </c>
      <c r="N12" s="15" t="s">
        <v>551</v>
      </c>
      <c r="O12" s="15" t="s">
        <v>475</v>
      </c>
      <c r="P12" s="16" t="s">
        <v>44</v>
      </c>
      <c r="Q12" s="17"/>
      <c r="R12" s="17"/>
    </row>
    <row r="13" customFormat="false" ht="58.2" hidden="false" customHeight="false" outlineLevel="0" collapsed="false">
      <c r="A13" s="14" t="s">
        <v>552</v>
      </c>
      <c r="B13" s="15" t="s">
        <v>553</v>
      </c>
      <c r="C13" s="15" t="s">
        <v>521</v>
      </c>
      <c r="D13" s="15" t="s">
        <v>466</v>
      </c>
      <c r="E13" s="15" t="s">
        <v>170</v>
      </c>
      <c r="F13" s="15" t="s">
        <v>180</v>
      </c>
      <c r="G13" s="14" t="s">
        <v>554</v>
      </c>
      <c r="H13" s="15" t="s">
        <v>555</v>
      </c>
      <c r="I13" s="15" t="s">
        <v>556</v>
      </c>
      <c r="J13" s="15" t="s">
        <v>557</v>
      </c>
      <c r="K13" s="15" t="s">
        <v>558</v>
      </c>
      <c r="L13" s="15" t="s">
        <v>559</v>
      </c>
      <c r="M13" s="15" t="s">
        <v>560</v>
      </c>
      <c r="N13" s="15" t="s">
        <v>561</v>
      </c>
      <c r="O13" s="15" t="s">
        <v>475</v>
      </c>
      <c r="P13" s="16" t="s">
        <v>44</v>
      </c>
      <c r="Q13" s="17"/>
      <c r="R13" s="17"/>
    </row>
    <row r="14" customFormat="false" ht="58.2" hidden="false" customHeight="false" outlineLevel="0" collapsed="false">
      <c r="A14" s="14" t="s">
        <v>562</v>
      </c>
      <c r="B14" s="15" t="s">
        <v>563</v>
      </c>
      <c r="C14" s="15" t="s">
        <v>564</v>
      </c>
      <c r="D14" s="15" t="s">
        <v>430</v>
      </c>
      <c r="E14" s="15" t="s">
        <v>193</v>
      </c>
      <c r="F14" s="15" t="s">
        <v>168</v>
      </c>
      <c r="G14" s="14" t="s">
        <v>565</v>
      </c>
      <c r="H14" s="15" t="s">
        <v>566</v>
      </c>
      <c r="I14" s="15" t="s">
        <v>567</v>
      </c>
      <c r="J14" s="15" t="s">
        <v>568</v>
      </c>
      <c r="K14" s="15" t="s">
        <v>569</v>
      </c>
      <c r="L14" s="15" t="s">
        <v>570</v>
      </c>
      <c r="M14" s="15" t="s">
        <v>571</v>
      </c>
      <c r="N14" s="15" t="s">
        <v>572</v>
      </c>
      <c r="O14" s="15" t="s">
        <v>475</v>
      </c>
      <c r="P14" s="16" t="s">
        <v>44</v>
      </c>
      <c r="Q14" s="17"/>
      <c r="R14" s="17"/>
    </row>
    <row r="15" customFormat="false" ht="58.2" hidden="false" customHeight="false" outlineLevel="0" collapsed="false">
      <c r="A15" s="14" t="s">
        <v>573</v>
      </c>
      <c r="B15" s="15" t="s">
        <v>574</v>
      </c>
      <c r="C15" s="15" t="s">
        <v>564</v>
      </c>
      <c r="D15" s="15" t="s">
        <v>442</v>
      </c>
      <c r="E15" s="15" t="s">
        <v>193</v>
      </c>
      <c r="F15" s="15" t="s">
        <v>202</v>
      </c>
      <c r="G15" s="14" t="s">
        <v>575</v>
      </c>
      <c r="H15" s="15" t="s">
        <v>576</v>
      </c>
      <c r="I15" s="15" t="s">
        <v>577</v>
      </c>
      <c r="J15" s="15" t="s">
        <v>578</v>
      </c>
      <c r="K15" s="15" t="s">
        <v>579</v>
      </c>
      <c r="L15" s="15" t="s">
        <v>580</v>
      </c>
      <c r="M15" s="15" t="s">
        <v>581</v>
      </c>
      <c r="N15" s="15" t="s">
        <v>582</v>
      </c>
      <c r="O15" s="15" t="s">
        <v>475</v>
      </c>
      <c r="P15" s="16" t="s">
        <v>44</v>
      </c>
      <c r="Q15" s="17"/>
      <c r="R15" s="17"/>
    </row>
    <row r="16" customFormat="false" ht="58.2" hidden="false" customHeight="false" outlineLevel="0" collapsed="false">
      <c r="A16" s="14" t="s">
        <v>583</v>
      </c>
      <c r="B16" s="15" t="s">
        <v>584</v>
      </c>
      <c r="C16" s="15" t="s">
        <v>564</v>
      </c>
      <c r="D16" s="15" t="s">
        <v>454</v>
      </c>
      <c r="E16" s="15" t="s">
        <v>193</v>
      </c>
      <c r="F16" s="15" t="s">
        <v>191</v>
      </c>
      <c r="G16" s="14" t="s">
        <v>585</v>
      </c>
      <c r="H16" s="15" t="s">
        <v>586</v>
      </c>
      <c r="I16" s="15" t="s">
        <v>587</v>
      </c>
      <c r="J16" s="15" t="s">
        <v>588</v>
      </c>
      <c r="K16" s="15" t="s">
        <v>589</v>
      </c>
      <c r="L16" s="15" t="s">
        <v>590</v>
      </c>
      <c r="M16" s="15" t="s">
        <v>591</v>
      </c>
      <c r="N16" s="15" t="s">
        <v>592</v>
      </c>
      <c r="O16" s="15" t="s">
        <v>593</v>
      </c>
      <c r="P16" s="16" t="s">
        <v>44</v>
      </c>
      <c r="Q16" s="17"/>
      <c r="R16" s="17"/>
    </row>
    <row r="17" customFormat="false" ht="58.2" hidden="false" customHeight="false" outlineLevel="0" collapsed="false">
      <c r="A17" s="14" t="s">
        <v>594</v>
      </c>
      <c r="B17" s="15" t="s">
        <v>595</v>
      </c>
      <c r="C17" s="15" t="s">
        <v>564</v>
      </c>
      <c r="D17" s="15" t="s">
        <v>466</v>
      </c>
      <c r="E17" s="15" t="s">
        <v>193</v>
      </c>
      <c r="F17" s="15" t="s">
        <v>180</v>
      </c>
      <c r="G17" s="14" t="s">
        <v>596</v>
      </c>
      <c r="H17" s="15" t="s">
        <v>597</v>
      </c>
      <c r="I17" s="15" t="s">
        <v>598</v>
      </c>
      <c r="J17" s="15" t="s">
        <v>599</v>
      </c>
      <c r="K17" s="15" t="s">
        <v>600</v>
      </c>
      <c r="L17" s="15" t="s">
        <v>601</v>
      </c>
      <c r="M17" s="15" t="s">
        <v>602</v>
      </c>
      <c r="N17" s="15" t="s">
        <v>603</v>
      </c>
      <c r="O17" s="15" t="s">
        <v>475</v>
      </c>
      <c r="P17" s="16" t="s">
        <v>44</v>
      </c>
      <c r="Q17" s="17"/>
      <c r="R17" s="17"/>
    </row>
    <row r="18" customFormat="false" ht="58.2" hidden="false" customHeight="false" outlineLevel="0" collapsed="false">
      <c r="A18" s="14" t="s">
        <v>604</v>
      </c>
      <c r="B18" s="15" t="s">
        <v>605</v>
      </c>
      <c r="C18" s="15" t="s">
        <v>606</v>
      </c>
      <c r="D18" s="15" t="s">
        <v>430</v>
      </c>
      <c r="E18" s="15" t="s">
        <v>182</v>
      </c>
      <c r="F18" s="15" t="s">
        <v>168</v>
      </c>
      <c r="G18" s="14" t="s">
        <v>607</v>
      </c>
      <c r="H18" s="15" t="s">
        <v>608</v>
      </c>
      <c r="I18" s="15" t="s">
        <v>609</v>
      </c>
      <c r="J18" s="15" t="s">
        <v>610</v>
      </c>
      <c r="K18" s="15" t="s">
        <v>611</v>
      </c>
      <c r="L18" s="15" t="s">
        <v>612</v>
      </c>
      <c r="M18" s="15" t="s">
        <v>613</v>
      </c>
      <c r="N18" s="15" t="s">
        <v>614</v>
      </c>
      <c r="O18" s="15" t="s">
        <v>475</v>
      </c>
      <c r="P18" s="16" t="s">
        <v>44</v>
      </c>
      <c r="Q18" s="17"/>
      <c r="R18" s="17"/>
    </row>
    <row r="19" customFormat="false" ht="58.2" hidden="false" customHeight="false" outlineLevel="0" collapsed="false">
      <c r="A19" s="14" t="s">
        <v>615</v>
      </c>
      <c r="B19" s="15" t="s">
        <v>616</v>
      </c>
      <c r="C19" s="15" t="s">
        <v>606</v>
      </c>
      <c r="D19" s="15" t="s">
        <v>442</v>
      </c>
      <c r="E19" s="15" t="s">
        <v>182</v>
      </c>
      <c r="F19" s="15" t="s">
        <v>202</v>
      </c>
      <c r="G19" s="14" t="s">
        <v>617</v>
      </c>
      <c r="H19" s="15" t="s">
        <v>618</v>
      </c>
      <c r="I19" s="15" t="s">
        <v>619</v>
      </c>
      <c r="J19" s="15" t="s">
        <v>620</v>
      </c>
      <c r="K19" s="15" t="s">
        <v>621</v>
      </c>
      <c r="L19" s="15" t="s">
        <v>622</v>
      </c>
      <c r="M19" s="15" t="s">
        <v>623</v>
      </c>
      <c r="N19" s="15" t="s">
        <v>624</v>
      </c>
      <c r="O19" s="15" t="s">
        <v>625</v>
      </c>
      <c r="P19" s="16" t="s">
        <v>44</v>
      </c>
      <c r="Q19" s="17"/>
      <c r="R19" s="17"/>
    </row>
    <row r="20" customFormat="false" ht="58.2" hidden="false" customHeight="false" outlineLevel="0" collapsed="false">
      <c r="A20" s="14" t="s">
        <v>626</v>
      </c>
      <c r="B20" s="15" t="s">
        <v>627</v>
      </c>
      <c r="C20" s="15" t="s">
        <v>606</v>
      </c>
      <c r="D20" s="15" t="s">
        <v>454</v>
      </c>
      <c r="E20" s="15" t="s">
        <v>182</v>
      </c>
      <c r="F20" s="15" t="s">
        <v>191</v>
      </c>
      <c r="G20" s="14" t="s">
        <v>628</v>
      </c>
      <c r="H20" s="15" t="s">
        <v>629</v>
      </c>
      <c r="I20" s="15" t="s">
        <v>630</v>
      </c>
      <c r="J20" s="15" t="s">
        <v>631</v>
      </c>
      <c r="K20" s="15" t="s">
        <v>632</v>
      </c>
      <c r="L20" s="15" t="s">
        <v>633</v>
      </c>
      <c r="M20" s="15" t="s">
        <v>634</v>
      </c>
      <c r="N20" s="15" t="s">
        <v>635</v>
      </c>
      <c r="O20" s="15" t="s">
        <v>636</v>
      </c>
      <c r="P20" s="16" t="s">
        <v>44</v>
      </c>
      <c r="Q20" s="17"/>
      <c r="R20" s="17"/>
    </row>
    <row r="21" customFormat="false" ht="58.2" hidden="false" customHeight="false" outlineLevel="0" collapsed="false">
      <c r="A21" s="14" t="s">
        <v>637</v>
      </c>
      <c r="B21" s="15" t="s">
        <v>638</v>
      </c>
      <c r="C21" s="15" t="s">
        <v>606</v>
      </c>
      <c r="D21" s="15" t="s">
        <v>466</v>
      </c>
      <c r="E21" s="15" t="s">
        <v>182</v>
      </c>
      <c r="F21" s="15" t="s">
        <v>180</v>
      </c>
      <c r="G21" s="14" t="s">
        <v>639</v>
      </c>
      <c r="H21" s="15" t="s">
        <v>640</v>
      </c>
      <c r="I21" s="15" t="s">
        <v>641</v>
      </c>
      <c r="J21" s="15" t="s">
        <v>642</v>
      </c>
      <c r="K21" s="15" t="s">
        <v>643</v>
      </c>
      <c r="L21" s="15" t="s">
        <v>644</v>
      </c>
      <c r="M21" s="15" t="s">
        <v>645</v>
      </c>
      <c r="N21" s="15" t="s">
        <v>646</v>
      </c>
      <c r="O21" s="15" t="s">
        <v>475</v>
      </c>
      <c r="P21" s="16" t="s">
        <v>44</v>
      </c>
      <c r="Q21" s="17"/>
      <c r="R21" s="17"/>
    </row>
  </sheetData>
  <autoFilter ref="A1:R21"/>
  <dataValidations count="1">
    <dataValidation allowBlank="false" errorStyle="stop" operator="between" showDropDown="false" showErrorMessage="false" showInputMessage="false" sqref="P2:P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9"/>
    <col collapsed="false" customWidth="true" hidden="false" outlineLevel="0" max="3" min="3" style="0" width="8"/>
    <col collapsed="false" customWidth="true" hidden="false" outlineLevel="0" max="4" min="4" style="0" width="8.8"/>
    <col collapsed="false" customWidth="true" hidden="false" outlineLevel="0" max="8" min="5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44" hidden="false" customHeight="false" outlineLevel="0" collapsed="false">
      <c r="A1" s="12" t="s">
        <v>148</v>
      </c>
      <c r="B1" s="13" t="s">
        <v>647</v>
      </c>
      <c r="C1" s="13" t="s">
        <v>38</v>
      </c>
      <c r="D1" s="13" t="s">
        <v>648</v>
      </c>
      <c r="E1" s="13" t="s">
        <v>649</v>
      </c>
      <c r="F1" s="13" t="s">
        <v>650</v>
      </c>
      <c r="G1" s="13" t="s">
        <v>651</v>
      </c>
      <c r="H1" s="13" t="s">
        <v>159</v>
      </c>
      <c r="I1" s="13" t="s">
        <v>160</v>
      </c>
      <c r="J1" s="13" t="s">
        <v>161</v>
      </c>
      <c r="K1" s="13" t="s">
        <v>162</v>
      </c>
    </row>
    <row r="2" customFormat="false" ht="44" hidden="false" customHeight="false" outlineLevel="0" collapsed="false">
      <c r="A2" s="14" t="s">
        <v>652</v>
      </c>
      <c r="B2" s="15" t="s">
        <v>416</v>
      </c>
      <c r="C2" s="15" t="s">
        <v>429</v>
      </c>
      <c r="D2" s="15" t="s">
        <v>203</v>
      </c>
      <c r="E2" s="15" t="s">
        <v>653</v>
      </c>
      <c r="F2" s="15" t="s">
        <v>654</v>
      </c>
      <c r="G2" s="15" t="s">
        <v>655</v>
      </c>
      <c r="H2" s="15" t="s">
        <v>656</v>
      </c>
      <c r="I2" s="16" t="s">
        <v>44</v>
      </c>
      <c r="J2" s="17"/>
      <c r="K2" s="17"/>
    </row>
    <row r="3" customFormat="false" ht="58.2" hidden="false" customHeight="false" outlineLevel="0" collapsed="false">
      <c r="A3" s="14" t="s">
        <v>657</v>
      </c>
      <c r="B3" s="15" t="s">
        <v>416</v>
      </c>
      <c r="C3" s="15" t="s">
        <v>478</v>
      </c>
      <c r="D3" s="15" t="s">
        <v>256</v>
      </c>
      <c r="E3" s="15" t="s">
        <v>658</v>
      </c>
      <c r="F3" s="15" t="s">
        <v>659</v>
      </c>
      <c r="G3" s="15" t="s">
        <v>660</v>
      </c>
      <c r="H3" s="15"/>
      <c r="I3" s="16" t="s">
        <v>44</v>
      </c>
      <c r="J3" s="17"/>
      <c r="K3" s="17"/>
    </row>
    <row r="4" customFormat="false" ht="58.2" hidden="false" customHeight="false" outlineLevel="0" collapsed="false">
      <c r="A4" s="14" t="s">
        <v>661</v>
      </c>
      <c r="B4" s="15" t="s">
        <v>416</v>
      </c>
      <c r="C4" s="15" t="s">
        <v>521</v>
      </c>
      <c r="D4" s="15" t="s">
        <v>170</v>
      </c>
      <c r="E4" s="15" t="s">
        <v>662</v>
      </c>
      <c r="F4" s="15" t="s">
        <v>663</v>
      </c>
      <c r="G4" s="15" t="s">
        <v>664</v>
      </c>
      <c r="H4" s="15" t="s">
        <v>665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666</v>
      </c>
      <c r="B5" s="15" t="s">
        <v>416</v>
      </c>
      <c r="C5" s="15" t="s">
        <v>564</v>
      </c>
      <c r="D5" s="15" t="s">
        <v>193</v>
      </c>
      <c r="E5" s="15" t="s">
        <v>667</v>
      </c>
      <c r="F5" s="15" t="s">
        <v>668</v>
      </c>
      <c r="G5" s="15" t="s">
        <v>669</v>
      </c>
      <c r="H5" s="15"/>
      <c r="I5" s="16" t="s">
        <v>44</v>
      </c>
      <c r="J5" s="17"/>
      <c r="K5" s="17"/>
    </row>
    <row r="6" customFormat="false" ht="44" hidden="false" customHeight="false" outlineLevel="0" collapsed="false">
      <c r="A6" s="14" t="s">
        <v>670</v>
      </c>
      <c r="B6" s="15" t="s">
        <v>416</v>
      </c>
      <c r="C6" s="15" t="s">
        <v>606</v>
      </c>
      <c r="D6" s="15" t="s">
        <v>182</v>
      </c>
      <c r="E6" s="15" t="s">
        <v>671</v>
      </c>
      <c r="F6" s="15" t="s">
        <v>672</v>
      </c>
      <c r="G6" s="15" t="s">
        <v>673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674</v>
      </c>
      <c r="B7" s="15" t="s">
        <v>417</v>
      </c>
      <c r="C7" s="15" t="s">
        <v>430</v>
      </c>
      <c r="D7" s="15" t="s">
        <v>168</v>
      </c>
      <c r="E7" s="15" t="s">
        <v>675</v>
      </c>
      <c r="F7" s="15" t="s">
        <v>676</v>
      </c>
      <c r="G7" s="15" t="s">
        <v>677</v>
      </c>
      <c r="H7" s="15"/>
      <c r="I7" s="16" t="s">
        <v>44</v>
      </c>
      <c r="J7" s="17"/>
      <c r="K7" s="17"/>
    </row>
    <row r="8" customFormat="false" ht="44" hidden="false" customHeight="false" outlineLevel="0" collapsed="false">
      <c r="A8" s="14" t="s">
        <v>678</v>
      </c>
      <c r="B8" s="15" t="s">
        <v>417</v>
      </c>
      <c r="C8" s="15" t="s">
        <v>442</v>
      </c>
      <c r="D8" s="15" t="s">
        <v>202</v>
      </c>
      <c r="E8" s="15" t="s">
        <v>679</v>
      </c>
      <c r="F8" s="15" t="s">
        <v>680</v>
      </c>
      <c r="G8" s="15" t="s">
        <v>681</v>
      </c>
      <c r="H8" s="15"/>
      <c r="I8" s="16" t="s">
        <v>44</v>
      </c>
      <c r="J8" s="17"/>
      <c r="K8" s="17"/>
    </row>
    <row r="9" customFormat="false" ht="58.2" hidden="false" customHeight="false" outlineLevel="0" collapsed="false">
      <c r="A9" s="14" t="s">
        <v>682</v>
      </c>
      <c r="B9" s="15" t="s">
        <v>417</v>
      </c>
      <c r="C9" s="15" t="s">
        <v>454</v>
      </c>
      <c r="D9" s="15" t="s">
        <v>191</v>
      </c>
      <c r="E9" s="15" t="s">
        <v>683</v>
      </c>
      <c r="F9" s="15" t="s">
        <v>684</v>
      </c>
      <c r="G9" s="15" t="s">
        <v>685</v>
      </c>
      <c r="H9" s="14" t="s">
        <v>686</v>
      </c>
      <c r="I9" s="16" t="s">
        <v>44</v>
      </c>
      <c r="J9" s="17"/>
      <c r="K9" s="17"/>
    </row>
    <row r="10" customFormat="false" ht="58.2" hidden="false" customHeight="false" outlineLevel="0" collapsed="false">
      <c r="A10" s="14" t="s">
        <v>687</v>
      </c>
      <c r="B10" s="15" t="s">
        <v>417</v>
      </c>
      <c r="C10" s="15" t="s">
        <v>466</v>
      </c>
      <c r="D10" s="15" t="s">
        <v>180</v>
      </c>
      <c r="E10" s="15" t="s">
        <v>688</v>
      </c>
      <c r="F10" s="15" t="s">
        <v>689</v>
      </c>
      <c r="G10" s="15" t="s">
        <v>690</v>
      </c>
      <c r="H10" s="15"/>
      <c r="I10" s="16" t="s">
        <v>44</v>
      </c>
      <c r="J10" s="17"/>
      <c r="K10" s="17"/>
    </row>
  </sheetData>
  <autoFilter ref="A1:K10"/>
  <dataValidations count="1">
    <dataValidation allowBlank="false" errorStyle="stop" operator="between" showDropDown="false" showErrorMessage="false" showInputMessage="false" sqref="I2:I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148</v>
      </c>
      <c r="B1" s="13" t="s">
        <v>153</v>
      </c>
      <c r="C1" s="13" t="s">
        <v>691</v>
      </c>
      <c r="D1" s="13" t="s">
        <v>279</v>
      </c>
      <c r="E1" s="13" t="s">
        <v>692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58.2" hidden="false" customHeight="false" outlineLevel="0" collapsed="false">
      <c r="A2" s="14" t="s">
        <v>693</v>
      </c>
      <c r="B2" s="15" t="s">
        <v>168</v>
      </c>
      <c r="C2" s="15" t="s">
        <v>694</v>
      </c>
      <c r="D2" s="15" t="s">
        <v>695</v>
      </c>
      <c r="E2" s="15" t="s">
        <v>696</v>
      </c>
      <c r="F2" s="15" t="s">
        <v>697</v>
      </c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698</v>
      </c>
      <c r="B3" s="15" t="s">
        <v>168</v>
      </c>
      <c r="C3" s="15" t="s">
        <v>699</v>
      </c>
      <c r="D3" s="15" t="s">
        <v>700</v>
      </c>
      <c r="E3" s="15"/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701</v>
      </c>
      <c r="B4" s="15" t="s">
        <v>180</v>
      </c>
      <c r="C4" s="15" t="s">
        <v>694</v>
      </c>
      <c r="D4" s="15" t="s">
        <v>702</v>
      </c>
      <c r="E4" s="15" t="s">
        <v>703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704</v>
      </c>
      <c r="B5" s="15" t="s">
        <v>180</v>
      </c>
      <c r="C5" s="15" t="s">
        <v>699</v>
      </c>
      <c r="D5" s="15" t="s">
        <v>705</v>
      </c>
      <c r="E5" s="15"/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706</v>
      </c>
      <c r="B6" s="15" t="s">
        <v>191</v>
      </c>
      <c r="C6" s="15" t="s">
        <v>694</v>
      </c>
      <c r="D6" s="15" t="s">
        <v>707</v>
      </c>
      <c r="E6" s="15" t="s">
        <v>708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709</v>
      </c>
      <c r="B7" s="15" t="s">
        <v>191</v>
      </c>
      <c r="C7" s="15" t="s">
        <v>699</v>
      </c>
      <c r="D7" s="15" t="s">
        <v>710</v>
      </c>
      <c r="E7" s="15"/>
      <c r="F7" s="15" t="s">
        <v>711</v>
      </c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712</v>
      </c>
      <c r="B8" s="15" t="s">
        <v>202</v>
      </c>
      <c r="C8" s="15" t="s">
        <v>694</v>
      </c>
      <c r="D8" s="15" t="s">
        <v>713</v>
      </c>
      <c r="E8" s="15" t="s">
        <v>714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715</v>
      </c>
      <c r="B9" s="15" t="s">
        <v>202</v>
      </c>
      <c r="C9" s="15" t="s">
        <v>699</v>
      </c>
      <c r="D9" s="15" t="s">
        <v>716</v>
      </c>
      <c r="E9" s="15"/>
      <c r="F9" s="15"/>
      <c r="G9" s="16" t="s">
        <v>44</v>
      </c>
      <c r="H9" s="17"/>
      <c r="I9" s="17"/>
    </row>
  </sheetData>
  <autoFilter ref="A1:I9"/>
  <dataValidations count="1">
    <dataValidation allowBlank="false" errorStyle="stop" operator="between" showDropDown="false" showErrorMessage="false" showInputMessage="false" sqref="G2:G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7" min="6" style="0" width="55"/>
    <col collapsed="false" customWidth="true" hidden="false" outlineLevel="0" max="8" min="8" style="0" width="47.3"/>
    <col collapsed="false" customWidth="true" hidden="false" outlineLevel="0" max="9" min="9" style="0" width="55"/>
    <col collapsed="false" customWidth="true" hidden="false" outlineLevel="0" max="11" min="10" style="0" width="8"/>
    <col collapsed="false" customWidth="true" hidden="false" outlineLevel="0" max="12" min="12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44" hidden="false" customHeight="false" outlineLevel="0" collapsed="false">
      <c r="A1" s="12" t="s">
        <v>148</v>
      </c>
      <c r="B1" s="13" t="s">
        <v>717</v>
      </c>
      <c r="C1" s="13" t="s">
        <v>718</v>
      </c>
      <c r="D1" s="13" t="s">
        <v>719</v>
      </c>
      <c r="E1" s="13" t="s">
        <v>720</v>
      </c>
      <c r="F1" s="13" t="s">
        <v>721</v>
      </c>
      <c r="G1" s="13" t="s">
        <v>722</v>
      </c>
      <c r="H1" s="13" t="s">
        <v>723</v>
      </c>
      <c r="I1" s="13" t="s">
        <v>724</v>
      </c>
      <c r="J1" s="13" t="s">
        <v>725</v>
      </c>
      <c r="K1" s="13" t="s">
        <v>156</v>
      </c>
      <c r="L1" s="13" t="s">
        <v>159</v>
      </c>
      <c r="M1" s="13" t="s">
        <v>160</v>
      </c>
      <c r="N1" s="13" t="s">
        <v>161</v>
      </c>
      <c r="O1" s="13" t="s">
        <v>162</v>
      </c>
    </row>
    <row r="2" customFormat="false" ht="44" hidden="false" customHeight="false" outlineLevel="0" collapsed="false">
      <c r="A2" s="14" t="s">
        <v>726</v>
      </c>
      <c r="B2" s="15" t="s">
        <v>247</v>
      </c>
      <c r="C2" s="15" t="s">
        <v>212</v>
      </c>
      <c r="D2" s="15" t="s">
        <v>727</v>
      </c>
      <c r="E2" s="15" t="s">
        <v>728</v>
      </c>
      <c r="F2" s="15" t="s">
        <v>729</v>
      </c>
      <c r="G2" s="15" t="s">
        <v>730</v>
      </c>
      <c r="H2" s="15" t="s">
        <v>731</v>
      </c>
      <c r="I2" s="15" t="s">
        <v>732</v>
      </c>
      <c r="J2" s="15" t="s">
        <v>733</v>
      </c>
      <c r="K2" s="15" t="s">
        <v>734</v>
      </c>
      <c r="L2" s="15"/>
      <c r="M2" s="16" t="s">
        <v>44</v>
      </c>
      <c r="N2" s="17"/>
      <c r="O2" s="17"/>
    </row>
    <row r="3" customFormat="false" ht="44" hidden="false" customHeight="false" outlineLevel="0" collapsed="false">
      <c r="A3" s="14" t="s">
        <v>735</v>
      </c>
      <c r="B3" s="15" t="s">
        <v>247</v>
      </c>
      <c r="C3" s="15" t="s">
        <v>212</v>
      </c>
      <c r="D3" s="15" t="s">
        <v>736</v>
      </c>
      <c r="E3" s="15" t="s">
        <v>737</v>
      </c>
      <c r="F3" s="15" t="s">
        <v>738</v>
      </c>
      <c r="G3" s="15" t="s">
        <v>739</v>
      </c>
      <c r="H3" s="15" t="s">
        <v>740</v>
      </c>
      <c r="I3" s="15" t="s">
        <v>741</v>
      </c>
      <c r="J3" s="15" t="s">
        <v>733</v>
      </c>
      <c r="K3" s="15" t="s">
        <v>742</v>
      </c>
      <c r="L3" s="15"/>
      <c r="M3" s="16" t="s">
        <v>44</v>
      </c>
      <c r="N3" s="17"/>
      <c r="O3" s="17"/>
    </row>
    <row r="4" customFormat="false" ht="58.2" hidden="false" customHeight="false" outlineLevel="0" collapsed="false">
      <c r="A4" s="14" t="s">
        <v>743</v>
      </c>
      <c r="B4" s="15" t="s">
        <v>247</v>
      </c>
      <c r="C4" s="15" t="s">
        <v>212</v>
      </c>
      <c r="D4" s="15" t="s">
        <v>744</v>
      </c>
      <c r="E4" s="15" t="s">
        <v>745</v>
      </c>
      <c r="F4" s="15" t="s">
        <v>746</v>
      </c>
      <c r="G4" s="15" t="s">
        <v>747</v>
      </c>
      <c r="H4" s="15" t="s">
        <v>748</v>
      </c>
      <c r="I4" s="15" t="s">
        <v>749</v>
      </c>
      <c r="J4" s="15" t="s">
        <v>750</v>
      </c>
      <c r="K4" s="15" t="s">
        <v>751</v>
      </c>
      <c r="L4" s="15" t="s">
        <v>752</v>
      </c>
      <c r="M4" s="16" t="s">
        <v>44</v>
      </c>
      <c r="N4" s="17"/>
      <c r="O4" s="17"/>
    </row>
    <row r="5" customFormat="false" ht="44" hidden="false" customHeight="false" outlineLevel="0" collapsed="false">
      <c r="A5" s="14" t="s">
        <v>753</v>
      </c>
      <c r="B5" s="15" t="s">
        <v>247</v>
      </c>
      <c r="C5" s="15" t="s">
        <v>203</v>
      </c>
      <c r="D5" s="15" t="s">
        <v>727</v>
      </c>
      <c r="E5" s="15" t="s">
        <v>754</v>
      </c>
      <c r="F5" s="15" t="s">
        <v>755</v>
      </c>
      <c r="G5" s="15" t="s">
        <v>756</v>
      </c>
      <c r="H5" s="15" t="s">
        <v>757</v>
      </c>
      <c r="I5" s="15" t="s">
        <v>758</v>
      </c>
      <c r="J5" s="15" t="s">
        <v>733</v>
      </c>
      <c r="K5" s="15" t="s">
        <v>759</v>
      </c>
      <c r="L5" s="15"/>
      <c r="M5" s="16" t="s">
        <v>44</v>
      </c>
      <c r="N5" s="17"/>
      <c r="O5" s="17"/>
    </row>
    <row r="6" customFormat="false" ht="58.2" hidden="false" customHeight="false" outlineLevel="0" collapsed="false">
      <c r="A6" s="14" t="s">
        <v>760</v>
      </c>
      <c r="B6" s="15" t="s">
        <v>247</v>
      </c>
      <c r="C6" s="15" t="s">
        <v>203</v>
      </c>
      <c r="D6" s="15" t="s">
        <v>736</v>
      </c>
      <c r="E6" s="15" t="s">
        <v>761</v>
      </c>
      <c r="F6" s="15" t="s">
        <v>762</v>
      </c>
      <c r="G6" s="15" t="s">
        <v>763</v>
      </c>
      <c r="H6" s="15" t="s">
        <v>764</v>
      </c>
      <c r="I6" s="15" t="s">
        <v>765</v>
      </c>
      <c r="J6" s="15" t="s">
        <v>733</v>
      </c>
      <c r="K6" s="15" t="s">
        <v>766</v>
      </c>
      <c r="L6" s="15"/>
      <c r="M6" s="16" t="s">
        <v>44</v>
      </c>
      <c r="N6" s="17"/>
      <c r="O6" s="17"/>
    </row>
    <row r="7" customFormat="false" ht="44" hidden="false" customHeight="false" outlineLevel="0" collapsed="false">
      <c r="A7" s="14" t="s">
        <v>767</v>
      </c>
      <c r="B7" s="15" t="s">
        <v>247</v>
      </c>
      <c r="C7" s="15" t="s">
        <v>203</v>
      </c>
      <c r="D7" s="15" t="s">
        <v>744</v>
      </c>
      <c r="E7" s="15" t="s">
        <v>768</v>
      </c>
      <c r="F7" s="15" t="s">
        <v>769</v>
      </c>
      <c r="G7" s="15" t="s">
        <v>770</v>
      </c>
      <c r="H7" s="15" t="s">
        <v>771</v>
      </c>
      <c r="I7" s="15" t="s">
        <v>772</v>
      </c>
      <c r="J7" s="15" t="s">
        <v>750</v>
      </c>
      <c r="K7" s="15" t="s">
        <v>773</v>
      </c>
      <c r="L7" s="15" t="s">
        <v>752</v>
      </c>
      <c r="M7" s="16" t="s">
        <v>44</v>
      </c>
      <c r="N7" s="17"/>
      <c r="O7" s="17"/>
    </row>
    <row r="8" customFormat="false" ht="44" hidden="false" customHeight="false" outlineLevel="0" collapsed="false">
      <c r="A8" s="14" t="s">
        <v>774</v>
      </c>
      <c r="B8" s="15" t="s">
        <v>247</v>
      </c>
      <c r="C8" s="15" t="s">
        <v>193</v>
      </c>
      <c r="D8" s="15" t="s">
        <v>727</v>
      </c>
      <c r="E8" s="15" t="s">
        <v>775</v>
      </c>
      <c r="F8" s="15" t="s">
        <v>776</v>
      </c>
      <c r="G8" s="15" t="s">
        <v>777</v>
      </c>
      <c r="H8" s="15" t="s">
        <v>778</v>
      </c>
      <c r="I8" s="15" t="s">
        <v>779</v>
      </c>
      <c r="J8" s="15" t="s">
        <v>733</v>
      </c>
      <c r="K8" s="15" t="s">
        <v>780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781</v>
      </c>
      <c r="B9" s="15" t="s">
        <v>247</v>
      </c>
      <c r="C9" s="15" t="s">
        <v>193</v>
      </c>
      <c r="D9" s="15" t="s">
        <v>736</v>
      </c>
      <c r="E9" s="15" t="s">
        <v>782</v>
      </c>
      <c r="F9" s="15" t="s">
        <v>783</v>
      </c>
      <c r="G9" s="15" t="s">
        <v>784</v>
      </c>
      <c r="H9" s="15" t="s">
        <v>785</v>
      </c>
      <c r="I9" s="15" t="s">
        <v>786</v>
      </c>
      <c r="J9" s="15" t="s">
        <v>733</v>
      </c>
      <c r="K9" s="15" t="s">
        <v>787</v>
      </c>
      <c r="L9" s="15"/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788</v>
      </c>
      <c r="B10" s="15" t="s">
        <v>247</v>
      </c>
      <c r="C10" s="15" t="s">
        <v>193</v>
      </c>
      <c r="D10" s="15" t="s">
        <v>744</v>
      </c>
      <c r="E10" s="15" t="s">
        <v>789</v>
      </c>
      <c r="F10" s="15" t="s">
        <v>790</v>
      </c>
      <c r="G10" s="15" t="s">
        <v>791</v>
      </c>
      <c r="H10" s="15" t="s">
        <v>792</v>
      </c>
      <c r="I10" s="15" t="s">
        <v>793</v>
      </c>
      <c r="J10" s="15" t="s">
        <v>750</v>
      </c>
      <c r="K10" s="15" t="s">
        <v>794</v>
      </c>
      <c r="L10" s="15" t="s">
        <v>752</v>
      </c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795</v>
      </c>
      <c r="B11" s="15" t="s">
        <v>247</v>
      </c>
      <c r="C11" s="15" t="s">
        <v>182</v>
      </c>
      <c r="D11" s="15" t="s">
        <v>727</v>
      </c>
      <c r="E11" s="15" t="s">
        <v>796</v>
      </c>
      <c r="F11" s="15" t="s">
        <v>797</v>
      </c>
      <c r="G11" s="15" t="s">
        <v>798</v>
      </c>
      <c r="H11" s="15" t="s">
        <v>799</v>
      </c>
      <c r="I11" s="15" t="s">
        <v>800</v>
      </c>
      <c r="J11" s="15" t="s">
        <v>733</v>
      </c>
      <c r="K11" s="15" t="s">
        <v>801</v>
      </c>
      <c r="L11" s="15"/>
      <c r="M11" s="16" t="s">
        <v>44</v>
      </c>
      <c r="N11" s="17"/>
      <c r="O11" s="17"/>
    </row>
    <row r="12" customFormat="false" ht="44" hidden="false" customHeight="false" outlineLevel="0" collapsed="false">
      <c r="A12" s="14" t="s">
        <v>802</v>
      </c>
      <c r="B12" s="15" t="s">
        <v>247</v>
      </c>
      <c r="C12" s="15" t="s">
        <v>182</v>
      </c>
      <c r="D12" s="15" t="s">
        <v>736</v>
      </c>
      <c r="E12" s="15" t="s">
        <v>803</v>
      </c>
      <c r="F12" s="15" t="s">
        <v>804</v>
      </c>
      <c r="G12" s="15" t="s">
        <v>805</v>
      </c>
      <c r="H12" s="15" t="s">
        <v>806</v>
      </c>
      <c r="I12" s="15" t="s">
        <v>807</v>
      </c>
      <c r="J12" s="15" t="s">
        <v>733</v>
      </c>
      <c r="K12" s="15" t="s">
        <v>808</v>
      </c>
      <c r="L12" s="15"/>
      <c r="M12" s="16" t="s">
        <v>44</v>
      </c>
      <c r="N12" s="17"/>
      <c r="O12" s="17"/>
    </row>
    <row r="13" customFormat="false" ht="58.2" hidden="false" customHeight="false" outlineLevel="0" collapsed="false">
      <c r="A13" s="14" t="s">
        <v>809</v>
      </c>
      <c r="B13" s="15" t="s">
        <v>247</v>
      </c>
      <c r="C13" s="15" t="s">
        <v>182</v>
      </c>
      <c r="D13" s="15" t="s">
        <v>744</v>
      </c>
      <c r="E13" s="15" t="s">
        <v>810</v>
      </c>
      <c r="F13" s="15" t="s">
        <v>811</v>
      </c>
      <c r="G13" s="15" t="s">
        <v>812</v>
      </c>
      <c r="H13" s="15" t="s">
        <v>813</v>
      </c>
      <c r="I13" s="15" t="s">
        <v>814</v>
      </c>
      <c r="J13" s="15" t="s">
        <v>750</v>
      </c>
      <c r="K13" s="15" t="s">
        <v>815</v>
      </c>
      <c r="L13" s="15" t="s">
        <v>752</v>
      </c>
      <c r="M13" s="16" t="s">
        <v>44</v>
      </c>
      <c r="N13" s="17"/>
      <c r="O13" s="17"/>
    </row>
    <row r="14" customFormat="false" ht="44" hidden="false" customHeight="false" outlineLevel="0" collapsed="false">
      <c r="A14" s="14" t="s">
        <v>816</v>
      </c>
      <c r="B14" s="15" t="s">
        <v>247</v>
      </c>
      <c r="C14" s="15" t="s">
        <v>170</v>
      </c>
      <c r="D14" s="15" t="s">
        <v>727</v>
      </c>
      <c r="E14" s="15" t="s">
        <v>817</v>
      </c>
      <c r="F14" s="15" t="s">
        <v>818</v>
      </c>
      <c r="G14" s="15" t="s">
        <v>819</v>
      </c>
      <c r="H14" s="15" t="s">
        <v>820</v>
      </c>
      <c r="I14" s="15" t="s">
        <v>821</v>
      </c>
      <c r="J14" s="15" t="s">
        <v>733</v>
      </c>
      <c r="K14" s="15" t="s">
        <v>822</v>
      </c>
      <c r="L14" s="15"/>
      <c r="M14" s="16" t="s">
        <v>44</v>
      </c>
      <c r="N14" s="17"/>
      <c r="O14" s="17"/>
    </row>
    <row r="15" customFormat="false" ht="44" hidden="false" customHeight="false" outlineLevel="0" collapsed="false">
      <c r="A15" s="14" t="s">
        <v>823</v>
      </c>
      <c r="B15" s="15" t="s">
        <v>247</v>
      </c>
      <c r="C15" s="15" t="s">
        <v>170</v>
      </c>
      <c r="D15" s="15" t="s">
        <v>736</v>
      </c>
      <c r="E15" s="15" t="s">
        <v>824</v>
      </c>
      <c r="F15" s="15" t="s">
        <v>825</v>
      </c>
      <c r="G15" s="15" t="s">
        <v>826</v>
      </c>
      <c r="H15" s="15" t="s">
        <v>827</v>
      </c>
      <c r="I15" s="15" t="s">
        <v>828</v>
      </c>
      <c r="J15" s="15" t="s">
        <v>733</v>
      </c>
      <c r="K15" s="15" t="s">
        <v>829</v>
      </c>
      <c r="L15" s="15"/>
      <c r="M15" s="16" t="s">
        <v>44</v>
      </c>
      <c r="N15" s="17"/>
      <c r="O15" s="17"/>
    </row>
    <row r="16" customFormat="false" ht="44" hidden="false" customHeight="false" outlineLevel="0" collapsed="false">
      <c r="A16" s="14" t="s">
        <v>830</v>
      </c>
      <c r="B16" s="15" t="s">
        <v>247</v>
      </c>
      <c r="C16" s="15" t="s">
        <v>170</v>
      </c>
      <c r="D16" s="15" t="s">
        <v>744</v>
      </c>
      <c r="E16" s="15" t="s">
        <v>831</v>
      </c>
      <c r="F16" s="15" t="s">
        <v>832</v>
      </c>
      <c r="G16" s="15" t="s">
        <v>833</v>
      </c>
      <c r="H16" s="15" t="s">
        <v>834</v>
      </c>
      <c r="I16" s="15" t="s">
        <v>835</v>
      </c>
      <c r="J16" s="15" t="s">
        <v>750</v>
      </c>
      <c r="K16" s="15" t="s">
        <v>836</v>
      </c>
      <c r="L16" s="15" t="s">
        <v>752</v>
      </c>
      <c r="M16" s="16" t="s">
        <v>44</v>
      </c>
      <c r="N16" s="17"/>
      <c r="O16" s="17"/>
    </row>
    <row r="17" customFormat="false" ht="44" hidden="false" customHeight="false" outlineLevel="0" collapsed="false">
      <c r="A17" s="14" t="s">
        <v>837</v>
      </c>
      <c r="B17" s="15" t="s">
        <v>247</v>
      </c>
      <c r="C17" s="15" t="s">
        <v>838</v>
      </c>
      <c r="D17" s="15" t="s">
        <v>727</v>
      </c>
      <c r="E17" s="15" t="s">
        <v>839</v>
      </c>
      <c r="F17" s="15" t="s">
        <v>840</v>
      </c>
      <c r="G17" s="15" t="s">
        <v>841</v>
      </c>
      <c r="H17" s="15" t="s">
        <v>842</v>
      </c>
      <c r="I17" s="15" t="s">
        <v>843</v>
      </c>
      <c r="J17" s="15" t="s">
        <v>733</v>
      </c>
      <c r="K17" s="15" t="s">
        <v>844</v>
      </c>
      <c r="L17" s="15"/>
      <c r="M17" s="16" t="s">
        <v>44</v>
      </c>
      <c r="N17" s="17"/>
      <c r="O17" s="17"/>
    </row>
    <row r="18" customFormat="false" ht="58.2" hidden="false" customHeight="false" outlineLevel="0" collapsed="false">
      <c r="A18" s="14" t="s">
        <v>845</v>
      </c>
      <c r="B18" s="15" t="s">
        <v>247</v>
      </c>
      <c r="C18" s="15" t="s">
        <v>838</v>
      </c>
      <c r="D18" s="15" t="s">
        <v>736</v>
      </c>
      <c r="E18" s="15" t="s">
        <v>846</v>
      </c>
      <c r="F18" s="15" t="s">
        <v>847</v>
      </c>
      <c r="G18" s="15" t="s">
        <v>848</v>
      </c>
      <c r="H18" s="15" t="s">
        <v>849</v>
      </c>
      <c r="I18" s="15" t="s">
        <v>850</v>
      </c>
      <c r="J18" s="15" t="s">
        <v>733</v>
      </c>
      <c r="K18" s="15" t="s">
        <v>851</v>
      </c>
      <c r="L18" s="15"/>
      <c r="M18" s="16" t="s">
        <v>44</v>
      </c>
      <c r="N18" s="17"/>
      <c r="O18" s="17"/>
    </row>
    <row r="19" customFormat="false" ht="44" hidden="false" customHeight="false" outlineLevel="0" collapsed="false">
      <c r="A19" s="14" t="s">
        <v>852</v>
      </c>
      <c r="B19" s="15" t="s">
        <v>247</v>
      </c>
      <c r="C19" s="15" t="s">
        <v>838</v>
      </c>
      <c r="D19" s="15" t="s">
        <v>744</v>
      </c>
      <c r="E19" s="15" t="s">
        <v>853</v>
      </c>
      <c r="F19" s="15" t="s">
        <v>854</v>
      </c>
      <c r="G19" s="15" t="s">
        <v>855</v>
      </c>
      <c r="H19" s="15" t="s">
        <v>856</v>
      </c>
      <c r="I19" s="15" t="s">
        <v>857</v>
      </c>
      <c r="J19" s="15" t="s">
        <v>750</v>
      </c>
      <c r="K19" s="15" t="s">
        <v>858</v>
      </c>
      <c r="L19" s="15" t="s">
        <v>752</v>
      </c>
      <c r="M19" s="16" t="s">
        <v>44</v>
      </c>
      <c r="N19" s="17"/>
      <c r="O19" s="17"/>
    </row>
    <row r="20" customFormat="false" ht="44" hidden="false" customHeight="false" outlineLevel="0" collapsed="false">
      <c r="A20" s="14" t="s">
        <v>859</v>
      </c>
      <c r="B20" s="15" t="s">
        <v>247</v>
      </c>
      <c r="C20" s="15" t="s">
        <v>860</v>
      </c>
      <c r="D20" s="15" t="s">
        <v>727</v>
      </c>
      <c r="E20" s="15" t="s">
        <v>861</v>
      </c>
      <c r="F20" s="15" t="s">
        <v>862</v>
      </c>
      <c r="G20" s="15" t="s">
        <v>863</v>
      </c>
      <c r="H20" s="15" t="s">
        <v>864</v>
      </c>
      <c r="I20" s="15" t="s">
        <v>865</v>
      </c>
      <c r="J20" s="15" t="s">
        <v>733</v>
      </c>
      <c r="K20" s="15" t="s">
        <v>866</v>
      </c>
      <c r="L20" s="15"/>
      <c r="M20" s="16" t="s">
        <v>44</v>
      </c>
      <c r="N20" s="17"/>
      <c r="O20" s="17"/>
    </row>
    <row r="21" customFormat="false" ht="44" hidden="false" customHeight="false" outlineLevel="0" collapsed="false">
      <c r="A21" s="14" t="s">
        <v>867</v>
      </c>
      <c r="B21" s="15" t="s">
        <v>247</v>
      </c>
      <c r="C21" s="15" t="s">
        <v>860</v>
      </c>
      <c r="D21" s="15" t="s">
        <v>736</v>
      </c>
      <c r="E21" s="15" t="s">
        <v>868</v>
      </c>
      <c r="F21" s="15" t="s">
        <v>869</v>
      </c>
      <c r="G21" s="15" t="s">
        <v>870</v>
      </c>
      <c r="H21" s="15" t="s">
        <v>871</v>
      </c>
      <c r="I21" s="15" t="s">
        <v>872</v>
      </c>
      <c r="J21" s="15" t="s">
        <v>733</v>
      </c>
      <c r="K21" s="15" t="s">
        <v>873</v>
      </c>
      <c r="L21" s="15"/>
      <c r="M21" s="16" t="s">
        <v>44</v>
      </c>
      <c r="N21" s="17"/>
      <c r="O21" s="17"/>
    </row>
    <row r="22" customFormat="false" ht="58.2" hidden="false" customHeight="false" outlineLevel="0" collapsed="false">
      <c r="A22" s="14" t="s">
        <v>874</v>
      </c>
      <c r="B22" s="15" t="s">
        <v>247</v>
      </c>
      <c r="C22" s="15" t="s">
        <v>860</v>
      </c>
      <c r="D22" s="15" t="s">
        <v>744</v>
      </c>
      <c r="E22" s="15" t="s">
        <v>875</v>
      </c>
      <c r="F22" s="15" t="s">
        <v>876</v>
      </c>
      <c r="G22" s="15" t="s">
        <v>877</v>
      </c>
      <c r="H22" s="15" t="s">
        <v>878</v>
      </c>
      <c r="I22" s="15" t="s">
        <v>879</v>
      </c>
      <c r="J22" s="15" t="s">
        <v>750</v>
      </c>
      <c r="K22" s="15" t="s">
        <v>880</v>
      </c>
      <c r="L22" s="15" t="s">
        <v>752</v>
      </c>
      <c r="M22" s="16" t="s">
        <v>44</v>
      </c>
      <c r="N22" s="17"/>
      <c r="O22" s="17"/>
    </row>
    <row r="23" customFormat="false" ht="44" hidden="false" customHeight="false" outlineLevel="0" collapsed="false">
      <c r="A23" s="14" t="s">
        <v>881</v>
      </c>
      <c r="B23" s="15" t="s">
        <v>256</v>
      </c>
      <c r="C23" s="15" t="s">
        <v>212</v>
      </c>
      <c r="D23" s="15" t="s">
        <v>727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/>
      <c r="M23" s="16" t="s">
        <v>44</v>
      </c>
      <c r="N23" s="17"/>
      <c r="O23" s="17"/>
    </row>
    <row r="24" customFormat="false" ht="44" hidden="false" customHeight="false" outlineLevel="0" collapsed="false">
      <c r="A24" s="14" t="s">
        <v>889</v>
      </c>
      <c r="B24" s="15" t="s">
        <v>256</v>
      </c>
      <c r="C24" s="15" t="s">
        <v>212</v>
      </c>
      <c r="D24" s="15" t="s">
        <v>736</v>
      </c>
      <c r="E24" s="15" t="s">
        <v>890</v>
      </c>
      <c r="F24" s="15" t="s">
        <v>891</v>
      </c>
      <c r="G24" s="15" t="s">
        <v>892</v>
      </c>
      <c r="H24" s="15" t="s">
        <v>893</v>
      </c>
      <c r="I24" s="15" t="s">
        <v>894</v>
      </c>
      <c r="J24" s="15" t="s">
        <v>733</v>
      </c>
      <c r="K24" s="15" t="s">
        <v>895</v>
      </c>
      <c r="L24" s="15"/>
      <c r="M24" s="16" t="s">
        <v>44</v>
      </c>
      <c r="N24" s="17"/>
      <c r="O24" s="17"/>
    </row>
    <row r="25" customFormat="false" ht="58.2" hidden="false" customHeight="false" outlineLevel="0" collapsed="false">
      <c r="A25" s="14" t="s">
        <v>896</v>
      </c>
      <c r="B25" s="15" t="s">
        <v>256</v>
      </c>
      <c r="C25" s="15" t="s">
        <v>212</v>
      </c>
      <c r="D25" s="15" t="s">
        <v>744</v>
      </c>
      <c r="E25" s="15" t="s">
        <v>897</v>
      </c>
      <c r="F25" s="15" t="s">
        <v>898</v>
      </c>
      <c r="G25" s="15" t="s">
        <v>899</v>
      </c>
      <c r="H25" s="15" t="s">
        <v>900</v>
      </c>
      <c r="I25" s="15" t="s">
        <v>901</v>
      </c>
      <c r="J25" s="15" t="s">
        <v>887</v>
      </c>
      <c r="K25" s="15" t="s">
        <v>902</v>
      </c>
      <c r="L25" s="15"/>
      <c r="M25" s="16" t="s">
        <v>44</v>
      </c>
      <c r="N25" s="17"/>
      <c r="O25" s="17"/>
    </row>
    <row r="26" customFormat="false" ht="58.2" hidden="false" customHeight="false" outlineLevel="0" collapsed="false">
      <c r="A26" s="14" t="s">
        <v>903</v>
      </c>
      <c r="B26" s="15" t="s">
        <v>256</v>
      </c>
      <c r="C26" s="15" t="s">
        <v>203</v>
      </c>
      <c r="D26" s="15" t="s">
        <v>727</v>
      </c>
      <c r="E26" s="15" t="s">
        <v>904</v>
      </c>
      <c r="F26" s="15" t="s">
        <v>905</v>
      </c>
      <c r="G26" s="15" t="s">
        <v>906</v>
      </c>
      <c r="H26" s="15" t="s">
        <v>907</v>
      </c>
      <c r="I26" s="15" t="s">
        <v>908</v>
      </c>
      <c r="J26" s="15" t="s">
        <v>887</v>
      </c>
      <c r="K26" s="15" t="s">
        <v>909</v>
      </c>
      <c r="L26" s="15" t="s">
        <v>910</v>
      </c>
      <c r="M26" s="16" t="s">
        <v>44</v>
      </c>
      <c r="N26" s="17"/>
      <c r="O26" s="17"/>
    </row>
    <row r="27" customFormat="false" ht="44" hidden="false" customHeight="false" outlineLevel="0" collapsed="false">
      <c r="A27" s="14" t="s">
        <v>911</v>
      </c>
      <c r="B27" s="15" t="s">
        <v>256</v>
      </c>
      <c r="C27" s="15" t="s">
        <v>203</v>
      </c>
      <c r="D27" s="15" t="s">
        <v>736</v>
      </c>
      <c r="E27" s="15" t="s">
        <v>912</v>
      </c>
      <c r="F27" s="15" t="s">
        <v>913</v>
      </c>
      <c r="G27" s="15" t="s">
        <v>914</v>
      </c>
      <c r="H27" s="15" t="s">
        <v>915</v>
      </c>
      <c r="I27" s="15" t="s">
        <v>916</v>
      </c>
      <c r="J27" s="15" t="s">
        <v>733</v>
      </c>
      <c r="K27" s="15" t="s">
        <v>917</v>
      </c>
      <c r="L27" s="15"/>
      <c r="M27" s="16" t="s">
        <v>44</v>
      </c>
      <c r="N27" s="17"/>
      <c r="O27" s="17"/>
    </row>
    <row r="28" customFormat="false" ht="58.2" hidden="false" customHeight="false" outlineLevel="0" collapsed="false">
      <c r="A28" s="14" t="s">
        <v>918</v>
      </c>
      <c r="B28" s="15" t="s">
        <v>256</v>
      </c>
      <c r="C28" s="15" t="s">
        <v>203</v>
      </c>
      <c r="D28" s="15" t="s">
        <v>744</v>
      </c>
      <c r="E28" s="15" t="s">
        <v>919</v>
      </c>
      <c r="F28" s="15" t="s">
        <v>920</v>
      </c>
      <c r="G28" s="15" t="s">
        <v>921</v>
      </c>
      <c r="H28" s="15" t="s">
        <v>922</v>
      </c>
      <c r="I28" s="15" t="s">
        <v>923</v>
      </c>
      <c r="J28" s="15" t="s">
        <v>887</v>
      </c>
      <c r="K28" s="15" t="s">
        <v>924</v>
      </c>
      <c r="L28" s="15"/>
      <c r="M28" s="16" t="s">
        <v>44</v>
      </c>
      <c r="N28" s="17"/>
      <c r="O28" s="17"/>
    </row>
    <row r="29" customFormat="false" ht="58.2" hidden="false" customHeight="false" outlineLevel="0" collapsed="false">
      <c r="A29" s="14" t="s">
        <v>925</v>
      </c>
      <c r="B29" s="15" t="s">
        <v>256</v>
      </c>
      <c r="C29" s="15" t="s">
        <v>193</v>
      </c>
      <c r="D29" s="15" t="s">
        <v>727</v>
      </c>
      <c r="E29" s="15" t="s">
        <v>926</v>
      </c>
      <c r="F29" s="15" t="s">
        <v>927</v>
      </c>
      <c r="G29" s="15" t="s">
        <v>928</v>
      </c>
      <c r="H29" s="15" t="s">
        <v>929</v>
      </c>
      <c r="I29" s="15" t="s">
        <v>930</v>
      </c>
      <c r="J29" s="15" t="s">
        <v>887</v>
      </c>
      <c r="K29" s="15" t="s">
        <v>931</v>
      </c>
      <c r="L29" s="15"/>
      <c r="M29" s="16" t="s">
        <v>44</v>
      </c>
      <c r="N29" s="17"/>
      <c r="O29" s="17"/>
    </row>
    <row r="30" customFormat="false" ht="44" hidden="false" customHeight="false" outlineLevel="0" collapsed="false">
      <c r="A30" s="14" t="s">
        <v>932</v>
      </c>
      <c r="B30" s="15" t="s">
        <v>256</v>
      </c>
      <c r="C30" s="15" t="s">
        <v>193</v>
      </c>
      <c r="D30" s="15" t="s">
        <v>736</v>
      </c>
      <c r="E30" s="15" t="s">
        <v>933</v>
      </c>
      <c r="F30" s="15" t="s">
        <v>934</v>
      </c>
      <c r="G30" s="15" t="s">
        <v>935</v>
      </c>
      <c r="H30" s="15" t="s">
        <v>936</v>
      </c>
      <c r="I30" s="15" t="s">
        <v>937</v>
      </c>
      <c r="J30" s="15" t="s">
        <v>733</v>
      </c>
      <c r="K30" s="15" t="s">
        <v>938</v>
      </c>
      <c r="L30" s="15"/>
      <c r="M30" s="16" t="s">
        <v>44</v>
      </c>
      <c r="N30" s="17"/>
      <c r="O30" s="17"/>
    </row>
    <row r="31" customFormat="false" ht="58.2" hidden="false" customHeight="false" outlineLevel="0" collapsed="false">
      <c r="A31" s="14" t="s">
        <v>939</v>
      </c>
      <c r="B31" s="15" t="s">
        <v>256</v>
      </c>
      <c r="C31" s="15" t="s">
        <v>193</v>
      </c>
      <c r="D31" s="15" t="s">
        <v>744</v>
      </c>
      <c r="E31" s="15" t="s">
        <v>940</v>
      </c>
      <c r="F31" s="15" t="s">
        <v>941</v>
      </c>
      <c r="G31" s="15" t="s">
        <v>942</v>
      </c>
      <c r="H31" s="15" t="s">
        <v>943</v>
      </c>
      <c r="I31" s="15" t="s">
        <v>944</v>
      </c>
      <c r="J31" s="15" t="s">
        <v>887</v>
      </c>
      <c r="K31" s="15" t="s">
        <v>945</v>
      </c>
      <c r="L31" s="15"/>
      <c r="M31" s="16" t="s">
        <v>44</v>
      </c>
      <c r="N31" s="17"/>
      <c r="O31" s="17"/>
    </row>
    <row r="32" customFormat="false" ht="58.2" hidden="false" customHeight="false" outlineLevel="0" collapsed="false">
      <c r="A32" s="14" t="s">
        <v>946</v>
      </c>
      <c r="B32" s="15" t="s">
        <v>256</v>
      </c>
      <c r="C32" s="15" t="s">
        <v>182</v>
      </c>
      <c r="D32" s="15" t="s">
        <v>727</v>
      </c>
      <c r="E32" s="15" t="s">
        <v>947</v>
      </c>
      <c r="F32" s="15" t="s">
        <v>948</v>
      </c>
      <c r="G32" s="15" t="s">
        <v>949</v>
      </c>
      <c r="H32" s="15" t="s">
        <v>950</v>
      </c>
      <c r="I32" s="15" t="s">
        <v>951</v>
      </c>
      <c r="J32" s="15" t="s">
        <v>887</v>
      </c>
      <c r="K32" s="15" t="s">
        <v>952</v>
      </c>
      <c r="L32" s="15" t="s">
        <v>953</v>
      </c>
      <c r="M32" s="16" t="s">
        <v>44</v>
      </c>
      <c r="N32" s="17"/>
      <c r="O32" s="17"/>
    </row>
    <row r="33" customFormat="false" ht="58.2" hidden="false" customHeight="false" outlineLevel="0" collapsed="false">
      <c r="A33" s="14" t="s">
        <v>954</v>
      </c>
      <c r="B33" s="15" t="s">
        <v>256</v>
      </c>
      <c r="C33" s="15" t="s">
        <v>182</v>
      </c>
      <c r="D33" s="15" t="s">
        <v>736</v>
      </c>
      <c r="E33" s="15" t="s">
        <v>955</v>
      </c>
      <c r="F33" s="15" t="s">
        <v>956</v>
      </c>
      <c r="G33" s="15" t="s">
        <v>957</v>
      </c>
      <c r="H33" s="15" t="s">
        <v>958</v>
      </c>
      <c r="I33" s="15" t="s">
        <v>959</v>
      </c>
      <c r="J33" s="15" t="s">
        <v>733</v>
      </c>
      <c r="K33" s="15" t="s">
        <v>960</v>
      </c>
      <c r="L33" s="15"/>
      <c r="M33" s="16" t="s">
        <v>44</v>
      </c>
      <c r="N33" s="17"/>
      <c r="O33" s="17"/>
    </row>
    <row r="34" customFormat="false" ht="58.2" hidden="false" customHeight="false" outlineLevel="0" collapsed="false">
      <c r="A34" s="14" t="s">
        <v>961</v>
      </c>
      <c r="B34" s="15" t="s">
        <v>256</v>
      </c>
      <c r="C34" s="15" t="s">
        <v>182</v>
      </c>
      <c r="D34" s="15" t="s">
        <v>744</v>
      </c>
      <c r="E34" s="15" t="s">
        <v>962</v>
      </c>
      <c r="F34" s="15" t="s">
        <v>963</v>
      </c>
      <c r="G34" s="15" t="s">
        <v>964</v>
      </c>
      <c r="H34" s="15" t="s">
        <v>965</v>
      </c>
      <c r="I34" s="15" t="s">
        <v>966</v>
      </c>
      <c r="J34" s="15" t="s">
        <v>887</v>
      </c>
      <c r="K34" s="15" t="s">
        <v>967</v>
      </c>
      <c r="L34" s="15"/>
      <c r="M34" s="16" t="s">
        <v>44</v>
      </c>
      <c r="N34" s="17"/>
      <c r="O34" s="17"/>
    </row>
    <row r="35" customFormat="false" ht="44" hidden="false" customHeight="false" outlineLevel="0" collapsed="false">
      <c r="A35" s="14" t="s">
        <v>968</v>
      </c>
      <c r="B35" s="15" t="s">
        <v>256</v>
      </c>
      <c r="C35" s="15" t="s">
        <v>170</v>
      </c>
      <c r="D35" s="15" t="s">
        <v>727</v>
      </c>
      <c r="E35" s="15" t="s">
        <v>969</v>
      </c>
      <c r="F35" s="15" t="s">
        <v>970</v>
      </c>
      <c r="G35" s="15" t="s">
        <v>971</v>
      </c>
      <c r="H35" s="15" t="s">
        <v>972</v>
      </c>
      <c r="I35" s="15" t="s">
        <v>973</v>
      </c>
      <c r="J35" s="15" t="s">
        <v>887</v>
      </c>
      <c r="K35" s="15" t="s">
        <v>974</v>
      </c>
      <c r="L35" s="15"/>
      <c r="M35" s="16" t="s">
        <v>44</v>
      </c>
      <c r="N35" s="17"/>
      <c r="O35" s="17"/>
    </row>
    <row r="36" customFormat="false" ht="44" hidden="false" customHeight="false" outlineLevel="0" collapsed="false">
      <c r="A36" s="14" t="s">
        <v>975</v>
      </c>
      <c r="B36" s="15" t="s">
        <v>256</v>
      </c>
      <c r="C36" s="15" t="s">
        <v>170</v>
      </c>
      <c r="D36" s="15" t="s">
        <v>736</v>
      </c>
      <c r="E36" s="15" t="s">
        <v>976</v>
      </c>
      <c r="F36" s="15" t="s">
        <v>977</v>
      </c>
      <c r="G36" s="15" t="s">
        <v>978</v>
      </c>
      <c r="H36" s="15" t="s">
        <v>979</v>
      </c>
      <c r="I36" s="15" t="s">
        <v>980</v>
      </c>
      <c r="J36" s="15" t="s">
        <v>733</v>
      </c>
      <c r="K36" s="15" t="s">
        <v>981</v>
      </c>
      <c r="L36" s="15"/>
      <c r="M36" s="16" t="s">
        <v>44</v>
      </c>
      <c r="N36" s="17"/>
      <c r="O36" s="17"/>
    </row>
    <row r="37" customFormat="false" ht="44" hidden="false" customHeight="false" outlineLevel="0" collapsed="false">
      <c r="A37" s="14" t="s">
        <v>982</v>
      </c>
      <c r="B37" s="15" t="s">
        <v>256</v>
      </c>
      <c r="C37" s="15" t="s">
        <v>170</v>
      </c>
      <c r="D37" s="15" t="s">
        <v>744</v>
      </c>
      <c r="E37" s="15" t="s">
        <v>983</v>
      </c>
      <c r="F37" s="15" t="s">
        <v>984</v>
      </c>
      <c r="G37" s="15" t="s">
        <v>985</v>
      </c>
      <c r="H37" s="15" t="s">
        <v>986</v>
      </c>
      <c r="I37" s="15" t="s">
        <v>987</v>
      </c>
      <c r="J37" s="15" t="s">
        <v>887</v>
      </c>
      <c r="K37" s="15" t="s">
        <v>988</v>
      </c>
      <c r="L37" s="15"/>
      <c r="M37" s="16" t="s">
        <v>44</v>
      </c>
      <c r="N37" s="17"/>
      <c r="O37" s="17"/>
    </row>
    <row r="38" customFormat="false" ht="58.2" hidden="false" customHeight="false" outlineLevel="0" collapsed="false">
      <c r="A38" s="14" t="s">
        <v>989</v>
      </c>
      <c r="B38" s="15" t="s">
        <v>256</v>
      </c>
      <c r="C38" s="15" t="s">
        <v>838</v>
      </c>
      <c r="D38" s="15" t="s">
        <v>727</v>
      </c>
      <c r="E38" s="15" t="s">
        <v>990</v>
      </c>
      <c r="F38" s="15" t="s">
        <v>991</v>
      </c>
      <c r="G38" s="15" t="s">
        <v>992</v>
      </c>
      <c r="H38" s="15" t="s">
        <v>993</v>
      </c>
      <c r="I38" s="15" t="s">
        <v>994</v>
      </c>
      <c r="J38" s="15" t="s">
        <v>887</v>
      </c>
      <c r="K38" s="15" t="s">
        <v>995</v>
      </c>
      <c r="L38" s="15"/>
      <c r="M38" s="16" t="s">
        <v>44</v>
      </c>
      <c r="N38" s="17"/>
      <c r="O38" s="17"/>
    </row>
    <row r="39" customFormat="false" ht="44" hidden="false" customHeight="false" outlineLevel="0" collapsed="false">
      <c r="A39" s="14" t="s">
        <v>996</v>
      </c>
      <c r="B39" s="15" t="s">
        <v>256</v>
      </c>
      <c r="C39" s="15" t="s">
        <v>838</v>
      </c>
      <c r="D39" s="15" t="s">
        <v>736</v>
      </c>
      <c r="E39" s="15" t="s">
        <v>997</v>
      </c>
      <c r="F39" s="15" t="s">
        <v>998</v>
      </c>
      <c r="G39" s="15" t="s">
        <v>999</v>
      </c>
      <c r="H39" s="15" t="s">
        <v>1000</v>
      </c>
      <c r="I39" s="15" t="s">
        <v>1001</v>
      </c>
      <c r="J39" s="15" t="s">
        <v>733</v>
      </c>
      <c r="K39" s="15" t="s">
        <v>1002</v>
      </c>
      <c r="L39" s="15"/>
      <c r="M39" s="16" t="s">
        <v>44</v>
      </c>
      <c r="N39" s="17"/>
      <c r="O39" s="17"/>
    </row>
    <row r="40" customFormat="false" ht="58.2" hidden="false" customHeight="false" outlineLevel="0" collapsed="false">
      <c r="A40" s="14" t="s">
        <v>1003</v>
      </c>
      <c r="B40" s="15" t="s">
        <v>256</v>
      </c>
      <c r="C40" s="15" t="s">
        <v>838</v>
      </c>
      <c r="D40" s="15" t="s">
        <v>744</v>
      </c>
      <c r="E40" s="15" t="s">
        <v>1004</v>
      </c>
      <c r="F40" s="15" t="s">
        <v>1005</v>
      </c>
      <c r="G40" s="15" t="s">
        <v>1006</v>
      </c>
      <c r="H40" s="15" t="s">
        <v>1007</v>
      </c>
      <c r="I40" s="15" t="s">
        <v>1008</v>
      </c>
      <c r="J40" s="15" t="s">
        <v>887</v>
      </c>
      <c r="K40" s="15" t="s">
        <v>1009</v>
      </c>
      <c r="L40" s="15"/>
      <c r="M40" s="16" t="s">
        <v>44</v>
      </c>
      <c r="N40" s="17"/>
      <c r="O40" s="17"/>
    </row>
    <row r="41" customFormat="false" ht="44" hidden="false" customHeight="false" outlineLevel="0" collapsed="false">
      <c r="A41" s="14" t="s">
        <v>1010</v>
      </c>
      <c r="B41" s="15" t="s">
        <v>256</v>
      </c>
      <c r="C41" s="15" t="s">
        <v>860</v>
      </c>
      <c r="D41" s="15" t="s">
        <v>727</v>
      </c>
      <c r="E41" s="15" t="s">
        <v>1011</v>
      </c>
      <c r="F41" s="15" t="s">
        <v>1012</v>
      </c>
      <c r="G41" s="15" t="s">
        <v>1013</v>
      </c>
      <c r="H41" s="15" t="s">
        <v>1014</v>
      </c>
      <c r="I41" s="15" t="s">
        <v>1015</v>
      </c>
      <c r="J41" s="15" t="s">
        <v>887</v>
      </c>
      <c r="K41" s="15" t="s">
        <v>1016</v>
      </c>
      <c r="L41" s="15" t="s">
        <v>1017</v>
      </c>
      <c r="M41" s="16" t="s">
        <v>44</v>
      </c>
      <c r="N41" s="17"/>
      <c r="O41" s="17"/>
    </row>
    <row r="42" customFormat="false" ht="58.2" hidden="false" customHeight="false" outlineLevel="0" collapsed="false">
      <c r="A42" s="14" t="s">
        <v>1018</v>
      </c>
      <c r="B42" s="15" t="s">
        <v>256</v>
      </c>
      <c r="C42" s="15" t="s">
        <v>860</v>
      </c>
      <c r="D42" s="15" t="s">
        <v>736</v>
      </c>
      <c r="E42" s="15" t="s">
        <v>1019</v>
      </c>
      <c r="F42" s="15" t="s">
        <v>1020</v>
      </c>
      <c r="G42" s="15" t="s">
        <v>1021</v>
      </c>
      <c r="H42" s="15" t="s">
        <v>1022</v>
      </c>
      <c r="I42" s="15" t="s">
        <v>1023</v>
      </c>
      <c r="J42" s="15" t="s">
        <v>733</v>
      </c>
      <c r="K42" s="15" t="s">
        <v>1024</v>
      </c>
      <c r="L42" s="15"/>
      <c r="M42" s="16" t="s">
        <v>44</v>
      </c>
      <c r="N42" s="17"/>
      <c r="O42" s="17"/>
    </row>
    <row r="43" customFormat="false" ht="58.2" hidden="false" customHeight="false" outlineLevel="0" collapsed="false">
      <c r="A43" s="14" t="s">
        <v>1025</v>
      </c>
      <c r="B43" s="15" t="s">
        <v>256</v>
      </c>
      <c r="C43" s="15" t="s">
        <v>860</v>
      </c>
      <c r="D43" s="15" t="s">
        <v>744</v>
      </c>
      <c r="E43" s="15" t="s">
        <v>1026</v>
      </c>
      <c r="F43" s="15" t="s">
        <v>1027</v>
      </c>
      <c r="G43" s="15" t="s">
        <v>1028</v>
      </c>
      <c r="H43" s="15" t="s">
        <v>1029</v>
      </c>
      <c r="I43" s="15" t="s">
        <v>1030</v>
      </c>
      <c r="J43" s="15" t="s">
        <v>887</v>
      </c>
      <c r="K43" s="15" t="s">
        <v>1031</v>
      </c>
      <c r="L43" s="15"/>
      <c r="M43" s="16" t="s">
        <v>44</v>
      </c>
      <c r="N43" s="17"/>
      <c r="O43" s="17"/>
    </row>
    <row r="44" customFormat="false" ht="58.2" hidden="false" customHeight="false" outlineLevel="0" collapsed="false">
      <c r="A44" s="14" t="s">
        <v>1032</v>
      </c>
      <c r="B44" s="15" t="s">
        <v>256</v>
      </c>
      <c r="C44" s="15" t="s">
        <v>256</v>
      </c>
      <c r="D44" s="15" t="s">
        <v>1033</v>
      </c>
      <c r="E44" s="15" t="s">
        <v>1034</v>
      </c>
      <c r="F44" s="15" t="s">
        <v>1035</v>
      </c>
      <c r="G44" s="15" t="s">
        <v>1036</v>
      </c>
      <c r="H44" s="15" t="s">
        <v>1037</v>
      </c>
      <c r="I44" s="15" t="s">
        <v>1038</v>
      </c>
      <c r="J44" s="15" t="s">
        <v>887</v>
      </c>
      <c r="K44" s="15" t="s">
        <v>1039</v>
      </c>
      <c r="L44" s="15" t="s">
        <v>1040</v>
      </c>
      <c r="M44" s="16" t="s">
        <v>44</v>
      </c>
      <c r="N44" s="17"/>
      <c r="O44" s="17"/>
    </row>
    <row r="45" customFormat="false" ht="58.2" hidden="false" customHeight="false" outlineLevel="0" collapsed="false">
      <c r="A45" s="14" t="s">
        <v>1041</v>
      </c>
      <c r="B45" s="15" t="s">
        <v>1042</v>
      </c>
      <c r="C45" s="15" t="s">
        <v>212</v>
      </c>
      <c r="D45" s="15" t="s">
        <v>727</v>
      </c>
      <c r="E45" s="15" t="s">
        <v>1043</v>
      </c>
      <c r="F45" s="15" t="s">
        <v>1044</v>
      </c>
      <c r="G45" s="15" t="s">
        <v>1045</v>
      </c>
      <c r="H45" s="15" t="s">
        <v>1046</v>
      </c>
      <c r="I45" s="15" t="s">
        <v>1047</v>
      </c>
      <c r="J45" s="15" t="s">
        <v>1048</v>
      </c>
      <c r="K45" s="15" t="s">
        <v>1049</v>
      </c>
      <c r="L45" s="15"/>
      <c r="M45" s="16" t="s">
        <v>44</v>
      </c>
      <c r="N45" s="17"/>
      <c r="O45" s="17"/>
    </row>
    <row r="46" customFormat="false" ht="58.2" hidden="false" customHeight="false" outlineLevel="0" collapsed="false">
      <c r="A46" s="14" t="s">
        <v>1050</v>
      </c>
      <c r="B46" s="15" t="s">
        <v>1042</v>
      </c>
      <c r="C46" s="15" t="s">
        <v>212</v>
      </c>
      <c r="D46" s="15" t="s">
        <v>736</v>
      </c>
      <c r="E46" s="15" t="s">
        <v>1051</v>
      </c>
      <c r="F46" s="15" t="s">
        <v>1052</v>
      </c>
      <c r="G46" s="15" t="s">
        <v>1053</v>
      </c>
      <c r="H46" s="15" t="s">
        <v>1054</v>
      </c>
      <c r="I46" s="15" t="s">
        <v>1055</v>
      </c>
      <c r="J46" s="15" t="s">
        <v>1048</v>
      </c>
      <c r="K46" s="15" t="s">
        <v>1056</v>
      </c>
      <c r="L46" s="15"/>
      <c r="M46" s="16" t="s">
        <v>44</v>
      </c>
      <c r="N46" s="17"/>
      <c r="O46" s="17"/>
    </row>
    <row r="47" customFormat="false" ht="58.2" hidden="false" customHeight="false" outlineLevel="0" collapsed="false">
      <c r="A47" s="14" t="s">
        <v>1057</v>
      </c>
      <c r="B47" s="15" t="s">
        <v>1042</v>
      </c>
      <c r="C47" s="15" t="s">
        <v>212</v>
      </c>
      <c r="D47" s="15" t="s">
        <v>744</v>
      </c>
      <c r="E47" s="15" t="s">
        <v>1058</v>
      </c>
      <c r="F47" s="15" t="s">
        <v>1059</v>
      </c>
      <c r="G47" s="15" t="s">
        <v>1060</v>
      </c>
      <c r="H47" s="15" t="s">
        <v>1061</v>
      </c>
      <c r="I47" s="15" t="s">
        <v>1062</v>
      </c>
      <c r="J47" s="15" t="s">
        <v>1048</v>
      </c>
      <c r="K47" s="15" t="s">
        <v>1063</v>
      </c>
      <c r="L47" s="15"/>
      <c r="M47" s="16" t="s">
        <v>44</v>
      </c>
      <c r="N47" s="17"/>
      <c r="O47" s="17"/>
    </row>
    <row r="48" customFormat="false" ht="58.2" hidden="false" customHeight="false" outlineLevel="0" collapsed="false">
      <c r="A48" s="14" t="s">
        <v>1064</v>
      </c>
      <c r="B48" s="15" t="s">
        <v>1042</v>
      </c>
      <c r="C48" s="15" t="s">
        <v>203</v>
      </c>
      <c r="D48" s="15" t="s">
        <v>727</v>
      </c>
      <c r="E48" s="15" t="s">
        <v>1065</v>
      </c>
      <c r="F48" s="15" t="s">
        <v>1066</v>
      </c>
      <c r="G48" s="15" t="s">
        <v>1067</v>
      </c>
      <c r="H48" s="15" t="s">
        <v>1068</v>
      </c>
      <c r="I48" s="15" t="s">
        <v>1069</v>
      </c>
      <c r="J48" s="15" t="s">
        <v>1048</v>
      </c>
      <c r="K48" s="15" t="s">
        <v>1070</v>
      </c>
      <c r="L48" s="15"/>
      <c r="M48" s="16" t="s">
        <v>44</v>
      </c>
      <c r="N48" s="17"/>
      <c r="O48" s="17"/>
    </row>
    <row r="49" customFormat="false" ht="58.2" hidden="false" customHeight="false" outlineLevel="0" collapsed="false">
      <c r="A49" s="14" t="s">
        <v>1071</v>
      </c>
      <c r="B49" s="15" t="s">
        <v>1042</v>
      </c>
      <c r="C49" s="15" t="s">
        <v>203</v>
      </c>
      <c r="D49" s="15" t="s">
        <v>736</v>
      </c>
      <c r="E49" s="15" t="s">
        <v>1072</v>
      </c>
      <c r="F49" s="15" t="s">
        <v>1073</v>
      </c>
      <c r="G49" s="15" t="s">
        <v>1074</v>
      </c>
      <c r="H49" s="15" t="s">
        <v>1075</v>
      </c>
      <c r="I49" s="15" t="s">
        <v>1076</v>
      </c>
      <c r="J49" s="15" t="s">
        <v>1048</v>
      </c>
      <c r="K49" s="15" t="s">
        <v>1077</v>
      </c>
      <c r="L49" s="15"/>
      <c r="M49" s="16" t="s">
        <v>44</v>
      </c>
      <c r="N49" s="17"/>
      <c r="O49" s="17"/>
    </row>
    <row r="50" customFormat="false" ht="72.35" hidden="false" customHeight="false" outlineLevel="0" collapsed="false">
      <c r="A50" s="14" t="s">
        <v>1078</v>
      </c>
      <c r="B50" s="15" t="s">
        <v>1042</v>
      </c>
      <c r="C50" s="15" t="s">
        <v>203</v>
      </c>
      <c r="D50" s="15" t="s">
        <v>744</v>
      </c>
      <c r="E50" s="15" t="s">
        <v>1079</v>
      </c>
      <c r="F50" s="15" t="s">
        <v>1080</v>
      </c>
      <c r="G50" s="15" t="s">
        <v>1081</v>
      </c>
      <c r="H50" s="15" t="s">
        <v>1082</v>
      </c>
      <c r="I50" s="15" t="s">
        <v>1083</v>
      </c>
      <c r="J50" s="15" t="s">
        <v>1048</v>
      </c>
      <c r="K50" s="15" t="s">
        <v>1084</v>
      </c>
      <c r="L50" s="15"/>
      <c r="M50" s="16" t="s">
        <v>44</v>
      </c>
      <c r="N50" s="17"/>
      <c r="O50" s="17"/>
    </row>
    <row r="51" customFormat="false" ht="58.2" hidden="false" customHeight="false" outlineLevel="0" collapsed="false">
      <c r="A51" s="14" t="s">
        <v>1085</v>
      </c>
      <c r="B51" s="15" t="s">
        <v>1042</v>
      </c>
      <c r="C51" s="15" t="s">
        <v>193</v>
      </c>
      <c r="D51" s="15" t="s">
        <v>727</v>
      </c>
      <c r="E51" s="15" t="s">
        <v>1086</v>
      </c>
      <c r="F51" s="15" t="s">
        <v>1087</v>
      </c>
      <c r="G51" s="15" t="s">
        <v>1088</v>
      </c>
      <c r="H51" s="15" t="s">
        <v>1089</v>
      </c>
      <c r="I51" s="15" t="s">
        <v>1090</v>
      </c>
      <c r="J51" s="15" t="s">
        <v>1048</v>
      </c>
      <c r="K51" s="15" t="s">
        <v>1091</v>
      </c>
      <c r="L51" s="15"/>
      <c r="M51" s="16" t="s">
        <v>44</v>
      </c>
      <c r="N51" s="17"/>
      <c r="O51" s="17"/>
    </row>
    <row r="52" customFormat="false" ht="44" hidden="false" customHeight="false" outlineLevel="0" collapsed="false">
      <c r="A52" s="14" t="s">
        <v>1092</v>
      </c>
      <c r="B52" s="15" t="s">
        <v>1042</v>
      </c>
      <c r="C52" s="15" t="s">
        <v>193</v>
      </c>
      <c r="D52" s="15" t="s">
        <v>736</v>
      </c>
      <c r="E52" s="15" t="s">
        <v>1093</v>
      </c>
      <c r="F52" s="15" t="s">
        <v>1094</v>
      </c>
      <c r="G52" s="15" t="s">
        <v>1095</v>
      </c>
      <c r="H52" s="15" t="s">
        <v>1096</v>
      </c>
      <c r="I52" s="15" t="s">
        <v>1097</v>
      </c>
      <c r="J52" s="15" t="s">
        <v>1048</v>
      </c>
      <c r="K52" s="15" t="s">
        <v>1098</v>
      </c>
      <c r="L52" s="15"/>
      <c r="M52" s="16" t="s">
        <v>44</v>
      </c>
      <c r="N52" s="17"/>
      <c r="O52" s="17"/>
    </row>
    <row r="53" customFormat="false" ht="58.2" hidden="false" customHeight="false" outlineLevel="0" collapsed="false">
      <c r="A53" s="14" t="s">
        <v>1099</v>
      </c>
      <c r="B53" s="15" t="s">
        <v>1042</v>
      </c>
      <c r="C53" s="15" t="s">
        <v>193</v>
      </c>
      <c r="D53" s="15" t="s">
        <v>744</v>
      </c>
      <c r="E53" s="15" t="s">
        <v>1100</v>
      </c>
      <c r="F53" s="15" t="s">
        <v>1101</v>
      </c>
      <c r="G53" s="15" t="s">
        <v>1102</v>
      </c>
      <c r="H53" s="15" t="s">
        <v>1103</v>
      </c>
      <c r="I53" s="15" t="s">
        <v>1104</v>
      </c>
      <c r="J53" s="15" t="s">
        <v>1048</v>
      </c>
      <c r="K53" s="15" t="s">
        <v>1105</v>
      </c>
      <c r="L53" s="15"/>
      <c r="M53" s="16" t="s">
        <v>44</v>
      </c>
      <c r="N53" s="17"/>
      <c r="O53" s="17"/>
    </row>
    <row r="54" customFormat="false" ht="58.2" hidden="false" customHeight="false" outlineLevel="0" collapsed="false">
      <c r="A54" s="14" t="s">
        <v>1106</v>
      </c>
      <c r="B54" s="15" t="s">
        <v>1042</v>
      </c>
      <c r="C54" s="15" t="s">
        <v>182</v>
      </c>
      <c r="D54" s="15" t="s">
        <v>727</v>
      </c>
      <c r="E54" s="15" t="s">
        <v>1107</v>
      </c>
      <c r="F54" s="15" t="s">
        <v>1108</v>
      </c>
      <c r="G54" s="15" t="s">
        <v>1109</v>
      </c>
      <c r="H54" s="15" t="s">
        <v>1110</v>
      </c>
      <c r="I54" s="15" t="s">
        <v>1111</v>
      </c>
      <c r="J54" s="15" t="s">
        <v>1048</v>
      </c>
      <c r="K54" s="15" t="s">
        <v>1112</v>
      </c>
      <c r="L54" s="15" t="s">
        <v>1113</v>
      </c>
      <c r="M54" s="16" t="s">
        <v>44</v>
      </c>
      <c r="N54" s="17"/>
      <c r="O54" s="17"/>
    </row>
    <row r="55" customFormat="false" ht="58.2" hidden="false" customHeight="false" outlineLevel="0" collapsed="false">
      <c r="A55" s="14" t="s">
        <v>1114</v>
      </c>
      <c r="B55" s="15" t="s">
        <v>1042</v>
      </c>
      <c r="C55" s="15" t="s">
        <v>182</v>
      </c>
      <c r="D55" s="15" t="s">
        <v>736</v>
      </c>
      <c r="E55" s="15" t="s">
        <v>1115</v>
      </c>
      <c r="F55" s="15" t="s">
        <v>1116</v>
      </c>
      <c r="G55" s="15" t="s">
        <v>1117</v>
      </c>
      <c r="H55" s="15" t="s">
        <v>1118</v>
      </c>
      <c r="I55" s="15" t="s">
        <v>1119</v>
      </c>
      <c r="J55" s="15" t="s">
        <v>1048</v>
      </c>
      <c r="K55" s="15" t="s">
        <v>1120</v>
      </c>
      <c r="L55" s="15"/>
      <c r="M55" s="16" t="s">
        <v>44</v>
      </c>
      <c r="N55" s="17"/>
      <c r="O55" s="17"/>
    </row>
    <row r="56" customFormat="false" ht="72.35" hidden="false" customHeight="false" outlineLevel="0" collapsed="false">
      <c r="A56" s="14" t="s">
        <v>1121</v>
      </c>
      <c r="B56" s="15" t="s">
        <v>1042</v>
      </c>
      <c r="C56" s="15" t="s">
        <v>182</v>
      </c>
      <c r="D56" s="15" t="s">
        <v>744</v>
      </c>
      <c r="E56" s="15" t="s">
        <v>1122</v>
      </c>
      <c r="F56" s="15" t="s">
        <v>1123</v>
      </c>
      <c r="G56" s="15" t="s">
        <v>1124</v>
      </c>
      <c r="H56" s="15" t="s">
        <v>1125</v>
      </c>
      <c r="I56" s="15" t="s">
        <v>1126</v>
      </c>
      <c r="J56" s="15" t="s">
        <v>1048</v>
      </c>
      <c r="K56" s="15" t="s">
        <v>1127</v>
      </c>
      <c r="L56" s="15"/>
      <c r="M56" s="16" t="s">
        <v>44</v>
      </c>
      <c r="N56" s="17"/>
      <c r="O56" s="17"/>
    </row>
    <row r="57" customFormat="false" ht="58.2" hidden="false" customHeight="false" outlineLevel="0" collapsed="false">
      <c r="A57" s="14" t="s">
        <v>1128</v>
      </c>
      <c r="B57" s="15" t="s">
        <v>1042</v>
      </c>
      <c r="C57" s="15" t="s">
        <v>170</v>
      </c>
      <c r="D57" s="15" t="s">
        <v>727</v>
      </c>
      <c r="E57" s="15" t="s">
        <v>1129</v>
      </c>
      <c r="F57" s="15" t="s">
        <v>1130</v>
      </c>
      <c r="G57" s="15" t="s">
        <v>1131</v>
      </c>
      <c r="H57" s="15" t="s">
        <v>1132</v>
      </c>
      <c r="I57" s="15" t="s">
        <v>1133</v>
      </c>
      <c r="J57" s="15" t="s">
        <v>1048</v>
      </c>
      <c r="K57" s="15" t="s">
        <v>1134</v>
      </c>
      <c r="L57" s="15"/>
      <c r="M57" s="16" t="s">
        <v>44</v>
      </c>
      <c r="N57" s="17"/>
      <c r="O57" s="17"/>
    </row>
    <row r="58" customFormat="false" ht="58.2" hidden="false" customHeight="false" outlineLevel="0" collapsed="false">
      <c r="A58" s="14" t="s">
        <v>1135</v>
      </c>
      <c r="B58" s="15" t="s">
        <v>1042</v>
      </c>
      <c r="C58" s="15" t="s">
        <v>170</v>
      </c>
      <c r="D58" s="15" t="s">
        <v>736</v>
      </c>
      <c r="E58" s="15" t="s">
        <v>1136</v>
      </c>
      <c r="F58" s="15" t="s">
        <v>1137</v>
      </c>
      <c r="G58" s="15" t="s">
        <v>1138</v>
      </c>
      <c r="H58" s="15" t="s">
        <v>1139</v>
      </c>
      <c r="I58" s="15" t="s">
        <v>1140</v>
      </c>
      <c r="J58" s="15" t="s">
        <v>1048</v>
      </c>
      <c r="K58" s="15" t="s">
        <v>1141</v>
      </c>
      <c r="L58" s="15"/>
      <c r="M58" s="16" t="s">
        <v>44</v>
      </c>
      <c r="N58" s="17"/>
      <c r="O58" s="17"/>
    </row>
    <row r="59" customFormat="false" ht="58.2" hidden="false" customHeight="false" outlineLevel="0" collapsed="false">
      <c r="A59" s="14" t="s">
        <v>1142</v>
      </c>
      <c r="B59" s="15" t="s">
        <v>1042</v>
      </c>
      <c r="C59" s="15" t="s">
        <v>170</v>
      </c>
      <c r="D59" s="15" t="s">
        <v>744</v>
      </c>
      <c r="E59" s="15" t="s">
        <v>1143</v>
      </c>
      <c r="F59" s="15" t="s">
        <v>1144</v>
      </c>
      <c r="G59" s="15" t="s">
        <v>1145</v>
      </c>
      <c r="H59" s="15" t="s">
        <v>1146</v>
      </c>
      <c r="I59" s="15" t="s">
        <v>1147</v>
      </c>
      <c r="J59" s="15" t="s">
        <v>1048</v>
      </c>
      <c r="K59" s="15" t="s">
        <v>1148</v>
      </c>
      <c r="L59" s="15"/>
      <c r="M59" s="16" t="s">
        <v>44</v>
      </c>
      <c r="N59" s="17"/>
      <c r="O59" s="17"/>
    </row>
    <row r="60" customFormat="false" ht="58.2" hidden="false" customHeight="false" outlineLevel="0" collapsed="false">
      <c r="A60" s="14" t="s">
        <v>1149</v>
      </c>
      <c r="B60" s="15" t="s">
        <v>1042</v>
      </c>
      <c r="C60" s="15" t="s">
        <v>838</v>
      </c>
      <c r="D60" s="15" t="s">
        <v>727</v>
      </c>
      <c r="E60" s="15" t="s">
        <v>1150</v>
      </c>
      <c r="F60" s="15" t="s">
        <v>1151</v>
      </c>
      <c r="G60" s="15" t="s">
        <v>1152</v>
      </c>
      <c r="H60" s="15" t="s">
        <v>1153</v>
      </c>
      <c r="I60" s="15" t="s">
        <v>1154</v>
      </c>
      <c r="J60" s="15" t="s">
        <v>1048</v>
      </c>
      <c r="K60" s="15" t="s">
        <v>1155</v>
      </c>
      <c r="L60" s="15"/>
      <c r="M60" s="16" t="s">
        <v>44</v>
      </c>
      <c r="N60" s="17"/>
      <c r="O60" s="17"/>
    </row>
    <row r="61" customFormat="false" ht="58.2" hidden="false" customHeight="false" outlineLevel="0" collapsed="false">
      <c r="A61" s="14" t="s">
        <v>1156</v>
      </c>
      <c r="B61" s="15" t="s">
        <v>1042</v>
      </c>
      <c r="C61" s="15" t="s">
        <v>838</v>
      </c>
      <c r="D61" s="15" t="s">
        <v>736</v>
      </c>
      <c r="E61" s="15" t="s">
        <v>1157</v>
      </c>
      <c r="F61" s="15" t="s">
        <v>1158</v>
      </c>
      <c r="G61" s="15" t="s">
        <v>1159</v>
      </c>
      <c r="H61" s="15" t="s">
        <v>1160</v>
      </c>
      <c r="I61" s="15" t="s">
        <v>1161</v>
      </c>
      <c r="J61" s="15" t="s">
        <v>1048</v>
      </c>
      <c r="K61" s="15" t="s">
        <v>1162</v>
      </c>
      <c r="L61" s="15"/>
      <c r="M61" s="16" t="s">
        <v>44</v>
      </c>
      <c r="N61" s="17"/>
      <c r="O61" s="17"/>
    </row>
    <row r="62" customFormat="false" ht="72.35" hidden="false" customHeight="false" outlineLevel="0" collapsed="false">
      <c r="A62" s="14" t="s">
        <v>1163</v>
      </c>
      <c r="B62" s="15" t="s">
        <v>1042</v>
      </c>
      <c r="C62" s="15" t="s">
        <v>838</v>
      </c>
      <c r="D62" s="15" t="s">
        <v>744</v>
      </c>
      <c r="E62" s="15" t="s">
        <v>1164</v>
      </c>
      <c r="F62" s="15" t="s">
        <v>1165</v>
      </c>
      <c r="G62" s="15" t="s">
        <v>1166</v>
      </c>
      <c r="H62" s="15" t="s">
        <v>1167</v>
      </c>
      <c r="I62" s="15" t="s">
        <v>1168</v>
      </c>
      <c r="J62" s="15" t="s">
        <v>1048</v>
      </c>
      <c r="K62" s="15" t="s">
        <v>1169</v>
      </c>
      <c r="L62" s="15"/>
      <c r="M62" s="16" t="s">
        <v>44</v>
      </c>
      <c r="N62" s="17"/>
      <c r="O62" s="17"/>
    </row>
    <row r="63" customFormat="false" ht="58.2" hidden="false" customHeight="false" outlineLevel="0" collapsed="false">
      <c r="A63" s="14" t="s">
        <v>1170</v>
      </c>
      <c r="B63" s="15" t="s">
        <v>1042</v>
      </c>
      <c r="C63" s="15" t="s">
        <v>860</v>
      </c>
      <c r="D63" s="15" t="s">
        <v>727</v>
      </c>
      <c r="E63" s="15" t="s">
        <v>1171</v>
      </c>
      <c r="F63" s="15" t="s">
        <v>1172</v>
      </c>
      <c r="G63" s="15" t="s">
        <v>1173</v>
      </c>
      <c r="H63" s="15" t="s">
        <v>1174</v>
      </c>
      <c r="I63" s="15" t="s">
        <v>1175</v>
      </c>
      <c r="J63" s="15" t="s">
        <v>1048</v>
      </c>
      <c r="K63" s="15" t="s">
        <v>1176</v>
      </c>
      <c r="L63" s="15"/>
      <c r="M63" s="16" t="s">
        <v>44</v>
      </c>
      <c r="N63" s="17"/>
      <c r="O63" s="17"/>
    </row>
    <row r="64" customFormat="false" ht="58.2" hidden="false" customHeight="false" outlineLevel="0" collapsed="false">
      <c r="A64" s="14" t="s">
        <v>1177</v>
      </c>
      <c r="B64" s="15" t="s">
        <v>1042</v>
      </c>
      <c r="C64" s="15" t="s">
        <v>860</v>
      </c>
      <c r="D64" s="15" t="s">
        <v>736</v>
      </c>
      <c r="E64" s="15" t="s">
        <v>1178</v>
      </c>
      <c r="F64" s="15" t="s">
        <v>1179</v>
      </c>
      <c r="G64" s="15" t="s">
        <v>1180</v>
      </c>
      <c r="H64" s="15" t="s">
        <v>1181</v>
      </c>
      <c r="I64" s="15" t="s">
        <v>1182</v>
      </c>
      <c r="J64" s="15" t="s">
        <v>1048</v>
      </c>
      <c r="K64" s="15" t="s">
        <v>1183</v>
      </c>
      <c r="L64" s="15"/>
      <c r="M64" s="16" t="s">
        <v>44</v>
      </c>
      <c r="N64" s="17"/>
      <c r="O64" s="17"/>
    </row>
    <row r="65" customFormat="false" ht="72.35" hidden="false" customHeight="false" outlineLevel="0" collapsed="false">
      <c r="A65" s="14" t="s">
        <v>1184</v>
      </c>
      <c r="B65" s="15" t="s">
        <v>1042</v>
      </c>
      <c r="C65" s="15" t="s">
        <v>860</v>
      </c>
      <c r="D65" s="15" t="s">
        <v>744</v>
      </c>
      <c r="E65" s="15" t="s">
        <v>1185</v>
      </c>
      <c r="F65" s="15" t="s">
        <v>1186</v>
      </c>
      <c r="G65" s="15" t="s">
        <v>1187</v>
      </c>
      <c r="H65" s="15" t="s">
        <v>1188</v>
      </c>
      <c r="I65" s="15" t="s">
        <v>1189</v>
      </c>
      <c r="J65" s="15" t="s">
        <v>1048</v>
      </c>
      <c r="K65" s="15" t="s">
        <v>1190</v>
      </c>
      <c r="L65" s="15"/>
      <c r="M65" s="16" t="s">
        <v>44</v>
      </c>
      <c r="N65" s="17"/>
      <c r="O65" s="17"/>
    </row>
    <row r="66" customFormat="false" ht="58.2" hidden="false" customHeight="false" outlineLevel="0" collapsed="false">
      <c r="A66" s="14" t="s">
        <v>1191</v>
      </c>
      <c r="B66" s="15" t="s">
        <v>1192</v>
      </c>
      <c r="C66" s="15" t="s">
        <v>212</v>
      </c>
      <c r="D66" s="15" t="s">
        <v>727</v>
      </c>
      <c r="E66" s="15" t="s">
        <v>1193</v>
      </c>
      <c r="F66" s="15" t="s">
        <v>1194</v>
      </c>
      <c r="G66" s="15" t="s">
        <v>1195</v>
      </c>
      <c r="H66" s="15" t="s">
        <v>1196</v>
      </c>
      <c r="I66" s="15" t="s">
        <v>1197</v>
      </c>
      <c r="J66" s="15" t="s">
        <v>1048</v>
      </c>
      <c r="K66" s="15" t="s">
        <v>1198</v>
      </c>
      <c r="L66" s="15"/>
      <c r="M66" s="16" t="s">
        <v>44</v>
      </c>
      <c r="N66" s="17"/>
      <c r="O66" s="17"/>
    </row>
    <row r="67" customFormat="false" ht="58.2" hidden="false" customHeight="false" outlineLevel="0" collapsed="false">
      <c r="A67" s="14" t="s">
        <v>1199</v>
      </c>
      <c r="B67" s="15" t="s">
        <v>1192</v>
      </c>
      <c r="C67" s="15" t="s">
        <v>212</v>
      </c>
      <c r="D67" s="15" t="s">
        <v>736</v>
      </c>
      <c r="E67" s="15" t="s">
        <v>1200</v>
      </c>
      <c r="F67" s="15" t="s">
        <v>1201</v>
      </c>
      <c r="G67" s="15" t="s">
        <v>1202</v>
      </c>
      <c r="H67" s="15" t="s">
        <v>1203</v>
      </c>
      <c r="I67" s="15" t="s">
        <v>1204</v>
      </c>
      <c r="J67" s="15" t="s">
        <v>1048</v>
      </c>
      <c r="K67" s="15" t="s">
        <v>1205</v>
      </c>
      <c r="L67" s="15"/>
      <c r="M67" s="16" t="s">
        <v>44</v>
      </c>
      <c r="N67" s="17"/>
      <c r="O67" s="17"/>
    </row>
    <row r="68" customFormat="false" ht="58.2" hidden="false" customHeight="false" outlineLevel="0" collapsed="false">
      <c r="A68" s="14" t="s">
        <v>1206</v>
      </c>
      <c r="B68" s="15" t="s">
        <v>1192</v>
      </c>
      <c r="C68" s="15" t="s">
        <v>212</v>
      </c>
      <c r="D68" s="15" t="s">
        <v>744</v>
      </c>
      <c r="E68" s="15" t="s">
        <v>1207</v>
      </c>
      <c r="F68" s="15" t="s">
        <v>1208</v>
      </c>
      <c r="G68" s="15" t="s">
        <v>1209</v>
      </c>
      <c r="H68" s="15" t="s">
        <v>1210</v>
      </c>
      <c r="I68" s="15" t="s">
        <v>1211</v>
      </c>
      <c r="J68" s="15" t="s">
        <v>1048</v>
      </c>
      <c r="K68" s="15" t="s">
        <v>1212</v>
      </c>
      <c r="L68" s="15"/>
      <c r="M68" s="16" t="s">
        <v>44</v>
      </c>
      <c r="N68" s="17"/>
      <c r="O68" s="17"/>
    </row>
    <row r="69" customFormat="false" ht="58.2" hidden="false" customHeight="false" outlineLevel="0" collapsed="false">
      <c r="A69" s="14" t="s">
        <v>1213</v>
      </c>
      <c r="B69" s="15" t="s">
        <v>1192</v>
      </c>
      <c r="C69" s="15" t="s">
        <v>203</v>
      </c>
      <c r="D69" s="15" t="s">
        <v>727</v>
      </c>
      <c r="E69" s="15" t="s">
        <v>1214</v>
      </c>
      <c r="F69" s="15" t="s">
        <v>1215</v>
      </c>
      <c r="G69" s="15" t="s">
        <v>1216</v>
      </c>
      <c r="H69" s="15" t="s">
        <v>1217</v>
      </c>
      <c r="I69" s="15" t="s">
        <v>1218</v>
      </c>
      <c r="J69" s="15" t="s">
        <v>1048</v>
      </c>
      <c r="K69" s="15" t="s">
        <v>1219</v>
      </c>
      <c r="L69" s="15"/>
      <c r="M69" s="16" t="s">
        <v>44</v>
      </c>
      <c r="N69" s="17"/>
      <c r="O69" s="17"/>
    </row>
    <row r="70" customFormat="false" ht="44" hidden="false" customHeight="false" outlineLevel="0" collapsed="false">
      <c r="A70" s="14" t="s">
        <v>1220</v>
      </c>
      <c r="B70" s="15" t="s">
        <v>1192</v>
      </c>
      <c r="C70" s="15" t="s">
        <v>203</v>
      </c>
      <c r="D70" s="15" t="s">
        <v>736</v>
      </c>
      <c r="E70" s="15" t="s">
        <v>1221</v>
      </c>
      <c r="F70" s="15" t="s">
        <v>1222</v>
      </c>
      <c r="G70" s="15" t="s">
        <v>1223</v>
      </c>
      <c r="H70" s="15" t="s">
        <v>1224</v>
      </c>
      <c r="I70" s="15" t="s">
        <v>1225</v>
      </c>
      <c r="J70" s="15" t="s">
        <v>1048</v>
      </c>
      <c r="K70" s="15" t="s">
        <v>1226</v>
      </c>
      <c r="L70" s="15"/>
      <c r="M70" s="16" t="s">
        <v>44</v>
      </c>
      <c r="N70" s="17"/>
      <c r="O70" s="17"/>
    </row>
    <row r="71" customFormat="false" ht="58.2" hidden="false" customHeight="false" outlineLevel="0" collapsed="false">
      <c r="A71" s="14" t="s">
        <v>1227</v>
      </c>
      <c r="B71" s="15" t="s">
        <v>1192</v>
      </c>
      <c r="C71" s="15" t="s">
        <v>203</v>
      </c>
      <c r="D71" s="15" t="s">
        <v>744</v>
      </c>
      <c r="E71" s="15" t="s">
        <v>1228</v>
      </c>
      <c r="F71" s="15" t="s">
        <v>1229</v>
      </c>
      <c r="G71" s="15" t="s">
        <v>1230</v>
      </c>
      <c r="H71" s="15" t="s">
        <v>1231</v>
      </c>
      <c r="I71" s="15" t="s">
        <v>1232</v>
      </c>
      <c r="J71" s="15" t="s">
        <v>1048</v>
      </c>
      <c r="K71" s="15" t="s">
        <v>1233</v>
      </c>
      <c r="L71" s="15" t="s">
        <v>1234</v>
      </c>
      <c r="M71" s="16" t="s">
        <v>44</v>
      </c>
      <c r="N71" s="17"/>
      <c r="O71" s="17"/>
    </row>
    <row r="72" customFormat="false" ht="58.2" hidden="false" customHeight="false" outlineLevel="0" collapsed="false">
      <c r="A72" s="14" t="s">
        <v>1235</v>
      </c>
      <c r="B72" s="15" t="s">
        <v>1192</v>
      </c>
      <c r="C72" s="15" t="s">
        <v>193</v>
      </c>
      <c r="D72" s="15" t="s">
        <v>727</v>
      </c>
      <c r="E72" s="15" t="s">
        <v>1236</v>
      </c>
      <c r="F72" s="15" t="s">
        <v>1237</v>
      </c>
      <c r="G72" s="15" t="s">
        <v>1238</v>
      </c>
      <c r="H72" s="15" t="s">
        <v>1239</v>
      </c>
      <c r="I72" s="15" t="s">
        <v>1240</v>
      </c>
      <c r="J72" s="15" t="s">
        <v>1048</v>
      </c>
      <c r="K72" s="15" t="s">
        <v>1241</v>
      </c>
      <c r="L72" s="15"/>
      <c r="M72" s="16" t="s">
        <v>44</v>
      </c>
      <c r="N72" s="17"/>
      <c r="O72" s="17"/>
    </row>
    <row r="73" customFormat="false" ht="58.2" hidden="false" customHeight="false" outlineLevel="0" collapsed="false">
      <c r="A73" s="14" t="s">
        <v>1242</v>
      </c>
      <c r="B73" s="15" t="s">
        <v>1192</v>
      </c>
      <c r="C73" s="15" t="s">
        <v>193</v>
      </c>
      <c r="D73" s="15" t="s">
        <v>736</v>
      </c>
      <c r="E73" s="15" t="s">
        <v>1243</v>
      </c>
      <c r="F73" s="15" t="s">
        <v>1244</v>
      </c>
      <c r="G73" s="15" t="s">
        <v>1245</v>
      </c>
      <c r="H73" s="15" t="s">
        <v>1246</v>
      </c>
      <c r="I73" s="15" t="s">
        <v>1247</v>
      </c>
      <c r="J73" s="15" t="s">
        <v>1048</v>
      </c>
      <c r="K73" s="15" t="s">
        <v>1248</v>
      </c>
      <c r="L73" s="15"/>
      <c r="M73" s="16" t="s">
        <v>44</v>
      </c>
      <c r="N73" s="17"/>
      <c r="O73" s="17"/>
    </row>
    <row r="74" customFormat="false" ht="58.2" hidden="false" customHeight="false" outlineLevel="0" collapsed="false">
      <c r="A74" s="14" t="s">
        <v>1249</v>
      </c>
      <c r="B74" s="15" t="s">
        <v>1192</v>
      </c>
      <c r="C74" s="15" t="s">
        <v>193</v>
      </c>
      <c r="D74" s="15" t="s">
        <v>744</v>
      </c>
      <c r="E74" s="15" t="s">
        <v>1250</v>
      </c>
      <c r="F74" s="15" t="s">
        <v>1251</v>
      </c>
      <c r="G74" s="15" t="s">
        <v>1252</v>
      </c>
      <c r="H74" s="15" t="s">
        <v>1253</v>
      </c>
      <c r="I74" s="15" t="s">
        <v>1254</v>
      </c>
      <c r="J74" s="15" t="s">
        <v>1048</v>
      </c>
      <c r="K74" s="15" t="s">
        <v>1255</v>
      </c>
      <c r="L74" s="15"/>
      <c r="M74" s="16" t="s">
        <v>44</v>
      </c>
      <c r="N74" s="17"/>
      <c r="O74" s="17"/>
    </row>
    <row r="75" customFormat="false" ht="58.2" hidden="false" customHeight="false" outlineLevel="0" collapsed="false">
      <c r="A75" s="14" t="s">
        <v>1256</v>
      </c>
      <c r="B75" s="15" t="s">
        <v>1192</v>
      </c>
      <c r="C75" s="15" t="s">
        <v>182</v>
      </c>
      <c r="D75" s="15" t="s">
        <v>727</v>
      </c>
      <c r="E75" s="15" t="s">
        <v>1257</v>
      </c>
      <c r="F75" s="15" t="s">
        <v>1258</v>
      </c>
      <c r="G75" s="15" t="s">
        <v>1259</v>
      </c>
      <c r="H75" s="15" t="s">
        <v>1260</v>
      </c>
      <c r="I75" s="15" t="s">
        <v>1261</v>
      </c>
      <c r="J75" s="15" t="s">
        <v>1048</v>
      </c>
      <c r="K75" s="15" t="s">
        <v>1262</v>
      </c>
      <c r="L75" s="15"/>
      <c r="M75" s="16" t="s">
        <v>44</v>
      </c>
      <c r="N75" s="17"/>
      <c r="O75" s="17"/>
    </row>
    <row r="76" customFormat="false" ht="58.2" hidden="false" customHeight="false" outlineLevel="0" collapsed="false">
      <c r="A76" s="14" t="s">
        <v>1263</v>
      </c>
      <c r="B76" s="15" t="s">
        <v>1192</v>
      </c>
      <c r="C76" s="15" t="s">
        <v>182</v>
      </c>
      <c r="D76" s="15" t="s">
        <v>736</v>
      </c>
      <c r="E76" s="15" t="s">
        <v>1264</v>
      </c>
      <c r="F76" s="15" t="s">
        <v>1265</v>
      </c>
      <c r="G76" s="15" t="s">
        <v>1266</v>
      </c>
      <c r="H76" s="15" t="s">
        <v>1267</v>
      </c>
      <c r="I76" s="15" t="s">
        <v>1268</v>
      </c>
      <c r="J76" s="15" t="s">
        <v>1048</v>
      </c>
      <c r="K76" s="15" t="s">
        <v>1269</v>
      </c>
      <c r="L76" s="15"/>
      <c r="M76" s="16" t="s">
        <v>44</v>
      </c>
      <c r="N76" s="17"/>
      <c r="O76" s="17"/>
    </row>
    <row r="77" customFormat="false" ht="72.35" hidden="false" customHeight="false" outlineLevel="0" collapsed="false">
      <c r="A77" s="14" t="s">
        <v>1270</v>
      </c>
      <c r="B77" s="15" t="s">
        <v>1192</v>
      </c>
      <c r="C77" s="15" t="s">
        <v>182</v>
      </c>
      <c r="D77" s="15" t="s">
        <v>744</v>
      </c>
      <c r="E77" s="15" t="s">
        <v>1271</v>
      </c>
      <c r="F77" s="15" t="s">
        <v>1272</v>
      </c>
      <c r="G77" s="15" t="s">
        <v>1273</v>
      </c>
      <c r="H77" s="15" t="s">
        <v>1274</v>
      </c>
      <c r="I77" s="15" t="s">
        <v>1275</v>
      </c>
      <c r="J77" s="15" t="s">
        <v>1048</v>
      </c>
      <c r="K77" s="15" t="s">
        <v>1276</v>
      </c>
      <c r="L77" s="15"/>
      <c r="M77" s="16" t="s">
        <v>44</v>
      </c>
      <c r="N77" s="17"/>
      <c r="O77" s="17"/>
    </row>
    <row r="78" customFormat="false" ht="58.2" hidden="false" customHeight="false" outlineLevel="0" collapsed="false">
      <c r="A78" s="14" t="s">
        <v>1277</v>
      </c>
      <c r="B78" s="15" t="s">
        <v>1192</v>
      </c>
      <c r="C78" s="15" t="s">
        <v>170</v>
      </c>
      <c r="D78" s="15" t="s">
        <v>727</v>
      </c>
      <c r="E78" s="15" t="s">
        <v>1278</v>
      </c>
      <c r="F78" s="15" t="s">
        <v>1279</v>
      </c>
      <c r="G78" s="15" t="s">
        <v>1280</v>
      </c>
      <c r="H78" s="15" t="s">
        <v>1281</v>
      </c>
      <c r="I78" s="15" t="s">
        <v>1282</v>
      </c>
      <c r="J78" s="15" t="s">
        <v>1048</v>
      </c>
      <c r="K78" s="15" t="s">
        <v>1283</v>
      </c>
      <c r="L78" s="15" t="s">
        <v>1284</v>
      </c>
      <c r="M78" s="16" t="s">
        <v>44</v>
      </c>
      <c r="N78" s="17"/>
      <c r="O78" s="17"/>
    </row>
    <row r="79" customFormat="false" ht="44" hidden="false" customHeight="false" outlineLevel="0" collapsed="false">
      <c r="A79" s="14" t="s">
        <v>1285</v>
      </c>
      <c r="B79" s="15" t="s">
        <v>1192</v>
      </c>
      <c r="C79" s="15" t="s">
        <v>170</v>
      </c>
      <c r="D79" s="15" t="s">
        <v>736</v>
      </c>
      <c r="E79" s="15" t="s">
        <v>1286</v>
      </c>
      <c r="F79" s="15" t="s">
        <v>1287</v>
      </c>
      <c r="G79" s="15" t="s">
        <v>1288</v>
      </c>
      <c r="H79" s="15" t="s">
        <v>1289</v>
      </c>
      <c r="I79" s="15" t="s">
        <v>1290</v>
      </c>
      <c r="J79" s="15" t="s">
        <v>1048</v>
      </c>
      <c r="K79" s="15" t="s">
        <v>1291</v>
      </c>
      <c r="L79" s="15"/>
      <c r="M79" s="16" t="s">
        <v>44</v>
      </c>
      <c r="N79" s="17"/>
      <c r="O79" s="17"/>
    </row>
    <row r="80" customFormat="false" ht="58.2" hidden="false" customHeight="false" outlineLevel="0" collapsed="false">
      <c r="A80" s="14" t="s">
        <v>1292</v>
      </c>
      <c r="B80" s="15" t="s">
        <v>1192</v>
      </c>
      <c r="C80" s="15" t="s">
        <v>170</v>
      </c>
      <c r="D80" s="15" t="s">
        <v>744</v>
      </c>
      <c r="E80" s="15" t="s">
        <v>1293</v>
      </c>
      <c r="F80" s="15" t="s">
        <v>1294</v>
      </c>
      <c r="G80" s="15" t="s">
        <v>1295</v>
      </c>
      <c r="H80" s="15" t="s">
        <v>1296</v>
      </c>
      <c r="I80" s="15" t="s">
        <v>1297</v>
      </c>
      <c r="J80" s="15" t="s">
        <v>1048</v>
      </c>
      <c r="K80" s="15" t="s">
        <v>1298</v>
      </c>
      <c r="L80" s="15"/>
      <c r="M80" s="16" t="s">
        <v>44</v>
      </c>
      <c r="N80" s="17"/>
      <c r="O80" s="17"/>
    </row>
    <row r="81" customFormat="false" ht="58.2" hidden="false" customHeight="false" outlineLevel="0" collapsed="false">
      <c r="A81" s="14" t="s">
        <v>1299</v>
      </c>
      <c r="B81" s="15" t="s">
        <v>1192</v>
      </c>
      <c r="C81" s="15" t="s">
        <v>838</v>
      </c>
      <c r="D81" s="15" t="s">
        <v>727</v>
      </c>
      <c r="E81" s="15" t="s">
        <v>1300</v>
      </c>
      <c r="F81" s="15" t="s">
        <v>1301</v>
      </c>
      <c r="G81" s="15" t="s">
        <v>1302</v>
      </c>
      <c r="H81" s="15" t="s">
        <v>1303</v>
      </c>
      <c r="I81" s="15" t="s">
        <v>1304</v>
      </c>
      <c r="J81" s="15" t="s">
        <v>1048</v>
      </c>
      <c r="K81" s="15" t="s">
        <v>1305</v>
      </c>
      <c r="L81" s="15"/>
      <c r="M81" s="16" t="s">
        <v>44</v>
      </c>
      <c r="N81" s="17"/>
      <c r="O81" s="17"/>
    </row>
    <row r="82" customFormat="false" ht="58.2" hidden="false" customHeight="false" outlineLevel="0" collapsed="false">
      <c r="A82" s="14" t="s">
        <v>1306</v>
      </c>
      <c r="B82" s="15" t="s">
        <v>1192</v>
      </c>
      <c r="C82" s="15" t="s">
        <v>838</v>
      </c>
      <c r="D82" s="15" t="s">
        <v>736</v>
      </c>
      <c r="E82" s="15" t="s">
        <v>1307</v>
      </c>
      <c r="F82" s="15" t="s">
        <v>1308</v>
      </c>
      <c r="G82" s="15" t="s">
        <v>1309</v>
      </c>
      <c r="H82" s="15" t="s">
        <v>1310</v>
      </c>
      <c r="I82" s="15" t="s">
        <v>1311</v>
      </c>
      <c r="J82" s="15" t="s">
        <v>1048</v>
      </c>
      <c r="K82" s="15" t="s">
        <v>1312</v>
      </c>
      <c r="L82" s="15"/>
      <c r="M82" s="16" t="s">
        <v>44</v>
      </c>
      <c r="N82" s="17"/>
      <c r="O82" s="17"/>
    </row>
    <row r="83" customFormat="false" ht="58.2" hidden="false" customHeight="false" outlineLevel="0" collapsed="false">
      <c r="A83" s="14" t="s">
        <v>1313</v>
      </c>
      <c r="B83" s="15" t="s">
        <v>1192</v>
      </c>
      <c r="C83" s="15" t="s">
        <v>838</v>
      </c>
      <c r="D83" s="15" t="s">
        <v>744</v>
      </c>
      <c r="E83" s="15" t="s">
        <v>1314</v>
      </c>
      <c r="F83" s="15" t="s">
        <v>1315</v>
      </c>
      <c r="G83" s="15" t="s">
        <v>1316</v>
      </c>
      <c r="H83" s="15" t="s">
        <v>1317</v>
      </c>
      <c r="I83" s="15" t="s">
        <v>1318</v>
      </c>
      <c r="J83" s="15" t="s">
        <v>1048</v>
      </c>
      <c r="K83" s="15" t="s">
        <v>1319</v>
      </c>
      <c r="L83" s="15"/>
      <c r="M83" s="16" t="s">
        <v>44</v>
      </c>
      <c r="N83" s="17"/>
      <c r="O83" s="17"/>
    </row>
    <row r="84" customFormat="false" ht="58.2" hidden="false" customHeight="false" outlineLevel="0" collapsed="false">
      <c r="A84" s="14" t="s">
        <v>1320</v>
      </c>
      <c r="B84" s="15" t="s">
        <v>1192</v>
      </c>
      <c r="C84" s="15" t="s">
        <v>860</v>
      </c>
      <c r="D84" s="15" t="s">
        <v>727</v>
      </c>
      <c r="E84" s="15" t="s">
        <v>1321</v>
      </c>
      <c r="F84" s="15" t="s">
        <v>1322</v>
      </c>
      <c r="G84" s="15" t="s">
        <v>1323</v>
      </c>
      <c r="H84" s="15" t="s">
        <v>1324</v>
      </c>
      <c r="I84" s="15" t="s">
        <v>1325</v>
      </c>
      <c r="J84" s="15" t="s">
        <v>1048</v>
      </c>
      <c r="K84" s="15" t="s">
        <v>1326</v>
      </c>
      <c r="L84" s="15"/>
      <c r="M84" s="16" t="s">
        <v>44</v>
      </c>
      <c r="N84" s="17"/>
      <c r="O84" s="17"/>
    </row>
    <row r="85" customFormat="false" ht="58.2" hidden="false" customHeight="false" outlineLevel="0" collapsed="false">
      <c r="A85" s="14" t="s">
        <v>1327</v>
      </c>
      <c r="B85" s="15" t="s">
        <v>1192</v>
      </c>
      <c r="C85" s="15" t="s">
        <v>860</v>
      </c>
      <c r="D85" s="15" t="s">
        <v>736</v>
      </c>
      <c r="E85" s="15" t="s">
        <v>1328</v>
      </c>
      <c r="F85" s="15" t="s">
        <v>1329</v>
      </c>
      <c r="G85" s="15" t="s">
        <v>1330</v>
      </c>
      <c r="H85" s="15" t="s">
        <v>1331</v>
      </c>
      <c r="I85" s="15" t="s">
        <v>1332</v>
      </c>
      <c r="J85" s="15" t="s">
        <v>1048</v>
      </c>
      <c r="K85" s="15" t="s">
        <v>1333</v>
      </c>
      <c r="L85" s="15"/>
      <c r="M85" s="16" t="s">
        <v>44</v>
      </c>
      <c r="N85" s="17"/>
      <c r="O85" s="17"/>
    </row>
    <row r="86" customFormat="false" ht="72.35" hidden="false" customHeight="false" outlineLevel="0" collapsed="false">
      <c r="A86" s="14" t="s">
        <v>1334</v>
      </c>
      <c r="B86" s="15" t="s">
        <v>1192</v>
      </c>
      <c r="C86" s="15" t="s">
        <v>860</v>
      </c>
      <c r="D86" s="15" t="s">
        <v>744</v>
      </c>
      <c r="E86" s="15" t="s">
        <v>1335</v>
      </c>
      <c r="F86" s="15" t="s">
        <v>1336</v>
      </c>
      <c r="G86" s="15" t="s">
        <v>1337</v>
      </c>
      <c r="H86" s="15" t="s">
        <v>1338</v>
      </c>
      <c r="I86" s="15" t="s">
        <v>1339</v>
      </c>
      <c r="J86" s="15" t="s">
        <v>1048</v>
      </c>
      <c r="K86" s="15" t="s">
        <v>1340</v>
      </c>
      <c r="L86" s="15"/>
      <c r="M86" s="16" t="s">
        <v>44</v>
      </c>
      <c r="N86" s="17"/>
      <c r="O86" s="17"/>
    </row>
    <row r="87" customFormat="false" ht="58.2" hidden="false" customHeight="false" outlineLevel="0" collapsed="false">
      <c r="A87" s="14" t="s">
        <v>1341</v>
      </c>
      <c r="B87" s="15" t="s">
        <v>1342</v>
      </c>
      <c r="C87" s="15" t="s">
        <v>212</v>
      </c>
      <c r="D87" s="15" t="s">
        <v>727</v>
      </c>
      <c r="E87" s="15" t="s">
        <v>1343</v>
      </c>
      <c r="F87" s="15" t="s">
        <v>1344</v>
      </c>
      <c r="G87" s="15" t="s">
        <v>1345</v>
      </c>
      <c r="H87" s="15" t="s">
        <v>1346</v>
      </c>
      <c r="I87" s="15" t="s">
        <v>1347</v>
      </c>
      <c r="J87" s="15" t="s">
        <v>1048</v>
      </c>
      <c r="K87" s="15" t="s">
        <v>1348</v>
      </c>
      <c r="L87" s="15"/>
      <c r="M87" s="16" t="s">
        <v>44</v>
      </c>
      <c r="N87" s="17"/>
      <c r="O87" s="17"/>
    </row>
    <row r="88" customFormat="false" ht="58.2" hidden="false" customHeight="false" outlineLevel="0" collapsed="false">
      <c r="A88" s="14" t="s">
        <v>1349</v>
      </c>
      <c r="B88" s="15" t="s">
        <v>1342</v>
      </c>
      <c r="C88" s="15" t="s">
        <v>212</v>
      </c>
      <c r="D88" s="15" t="s">
        <v>736</v>
      </c>
      <c r="E88" s="15" t="s">
        <v>1350</v>
      </c>
      <c r="F88" s="15" t="s">
        <v>1351</v>
      </c>
      <c r="G88" s="15" t="s">
        <v>1352</v>
      </c>
      <c r="H88" s="15" t="s">
        <v>1353</v>
      </c>
      <c r="I88" s="15" t="s">
        <v>1354</v>
      </c>
      <c r="J88" s="15" t="s">
        <v>1048</v>
      </c>
      <c r="K88" s="15" t="s">
        <v>1355</v>
      </c>
      <c r="L88" s="15"/>
      <c r="M88" s="16" t="s">
        <v>44</v>
      </c>
      <c r="N88" s="17"/>
      <c r="O88" s="17"/>
    </row>
    <row r="89" customFormat="false" ht="58.2" hidden="false" customHeight="false" outlineLevel="0" collapsed="false">
      <c r="A89" s="14" t="s">
        <v>1356</v>
      </c>
      <c r="B89" s="15" t="s">
        <v>1342</v>
      </c>
      <c r="C89" s="15" t="s">
        <v>212</v>
      </c>
      <c r="D89" s="15" t="s">
        <v>744</v>
      </c>
      <c r="E89" s="15" t="s">
        <v>1357</v>
      </c>
      <c r="F89" s="15" t="s">
        <v>1358</v>
      </c>
      <c r="G89" s="15" t="s">
        <v>1359</v>
      </c>
      <c r="H89" s="15" t="s">
        <v>1360</v>
      </c>
      <c r="I89" s="15" t="s">
        <v>1361</v>
      </c>
      <c r="J89" s="15" t="s">
        <v>1048</v>
      </c>
      <c r="K89" s="15" t="s">
        <v>1362</v>
      </c>
      <c r="L89" s="15"/>
      <c r="M89" s="16" t="s">
        <v>44</v>
      </c>
      <c r="N89" s="17"/>
      <c r="O89" s="17"/>
    </row>
    <row r="90" customFormat="false" ht="58.2" hidden="false" customHeight="false" outlineLevel="0" collapsed="false">
      <c r="A90" s="14" t="s">
        <v>1363</v>
      </c>
      <c r="B90" s="15" t="s">
        <v>1342</v>
      </c>
      <c r="C90" s="15" t="s">
        <v>203</v>
      </c>
      <c r="D90" s="15" t="s">
        <v>727</v>
      </c>
      <c r="E90" s="15" t="s">
        <v>1364</v>
      </c>
      <c r="F90" s="15" t="s">
        <v>1365</v>
      </c>
      <c r="G90" s="15" t="s">
        <v>1366</v>
      </c>
      <c r="H90" s="15" t="s">
        <v>1367</v>
      </c>
      <c r="I90" s="15" t="s">
        <v>1368</v>
      </c>
      <c r="J90" s="15" t="s">
        <v>1048</v>
      </c>
      <c r="K90" s="15" t="s">
        <v>1369</v>
      </c>
      <c r="L90" s="15"/>
      <c r="M90" s="16" t="s">
        <v>44</v>
      </c>
      <c r="N90" s="17"/>
      <c r="O90" s="17"/>
    </row>
    <row r="91" customFormat="false" ht="58.2" hidden="false" customHeight="false" outlineLevel="0" collapsed="false">
      <c r="A91" s="14" t="s">
        <v>1370</v>
      </c>
      <c r="B91" s="15" t="s">
        <v>1342</v>
      </c>
      <c r="C91" s="15" t="s">
        <v>203</v>
      </c>
      <c r="D91" s="15" t="s">
        <v>736</v>
      </c>
      <c r="E91" s="15" t="s">
        <v>1371</v>
      </c>
      <c r="F91" s="15" t="s">
        <v>1372</v>
      </c>
      <c r="G91" s="15" t="s">
        <v>1373</v>
      </c>
      <c r="H91" s="15" t="s">
        <v>1374</v>
      </c>
      <c r="I91" s="15" t="s">
        <v>1375</v>
      </c>
      <c r="J91" s="15" t="s">
        <v>1048</v>
      </c>
      <c r="K91" s="15" t="s">
        <v>1376</v>
      </c>
      <c r="L91" s="15"/>
      <c r="M91" s="16" t="s">
        <v>44</v>
      </c>
      <c r="N91" s="17"/>
      <c r="O91" s="17"/>
    </row>
    <row r="92" customFormat="false" ht="58.2" hidden="false" customHeight="false" outlineLevel="0" collapsed="false">
      <c r="A92" s="14" t="s">
        <v>1377</v>
      </c>
      <c r="B92" s="15" t="s">
        <v>1342</v>
      </c>
      <c r="C92" s="15" t="s">
        <v>203</v>
      </c>
      <c r="D92" s="15" t="s">
        <v>744</v>
      </c>
      <c r="E92" s="15" t="s">
        <v>1378</v>
      </c>
      <c r="F92" s="15" t="s">
        <v>1379</v>
      </c>
      <c r="G92" s="15" t="s">
        <v>1380</v>
      </c>
      <c r="H92" s="15" t="s">
        <v>1381</v>
      </c>
      <c r="I92" s="15" t="s">
        <v>1382</v>
      </c>
      <c r="J92" s="15" t="s">
        <v>1048</v>
      </c>
      <c r="K92" s="15" t="s">
        <v>1383</v>
      </c>
      <c r="L92" s="15"/>
      <c r="M92" s="16" t="s">
        <v>44</v>
      </c>
      <c r="N92" s="17"/>
      <c r="O92" s="17"/>
    </row>
    <row r="93" customFormat="false" ht="58.2" hidden="false" customHeight="false" outlineLevel="0" collapsed="false">
      <c r="A93" s="14" t="s">
        <v>1384</v>
      </c>
      <c r="B93" s="15" t="s">
        <v>1342</v>
      </c>
      <c r="C93" s="15" t="s">
        <v>193</v>
      </c>
      <c r="D93" s="15" t="s">
        <v>727</v>
      </c>
      <c r="E93" s="15" t="s">
        <v>1385</v>
      </c>
      <c r="F93" s="15" t="s">
        <v>1386</v>
      </c>
      <c r="G93" s="15" t="s">
        <v>1387</v>
      </c>
      <c r="H93" s="15" t="s">
        <v>1388</v>
      </c>
      <c r="I93" s="15" t="s">
        <v>1389</v>
      </c>
      <c r="J93" s="15" t="s">
        <v>1048</v>
      </c>
      <c r="K93" s="15" t="s">
        <v>1390</v>
      </c>
      <c r="L93" s="15"/>
      <c r="M93" s="16" t="s">
        <v>44</v>
      </c>
      <c r="N93" s="17"/>
      <c r="O93" s="17"/>
    </row>
    <row r="94" customFormat="false" ht="44" hidden="false" customHeight="false" outlineLevel="0" collapsed="false">
      <c r="A94" s="14" t="s">
        <v>1391</v>
      </c>
      <c r="B94" s="15" t="s">
        <v>1342</v>
      </c>
      <c r="C94" s="15" t="s">
        <v>193</v>
      </c>
      <c r="D94" s="15" t="s">
        <v>736</v>
      </c>
      <c r="E94" s="15" t="s">
        <v>1392</v>
      </c>
      <c r="F94" s="15" t="s">
        <v>1393</v>
      </c>
      <c r="G94" s="15" t="s">
        <v>1394</v>
      </c>
      <c r="H94" s="15" t="s">
        <v>1395</v>
      </c>
      <c r="I94" s="15" t="s">
        <v>1396</v>
      </c>
      <c r="J94" s="15" t="s">
        <v>1048</v>
      </c>
      <c r="K94" s="15" t="s">
        <v>1397</v>
      </c>
      <c r="L94" s="15"/>
      <c r="M94" s="16" t="s">
        <v>44</v>
      </c>
      <c r="N94" s="17"/>
      <c r="O94" s="17"/>
    </row>
    <row r="95" customFormat="false" ht="58.2" hidden="false" customHeight="false" outlineLevel="0" collapsed="false">
      <c r="A95" s="14" t="s">
        <v>1398</v>
      </c>
      <c r="B95" s="15" t="s">
        <v>1342</v>
      </c>
      <c r="C95" s="15" t="s">
        <v>193</v>
      </c>
      <c r="D95" s="15" t="s">
        <v>744</v>
      </c>
      <c r="E95" s="15" t="s">
        <v>1399</v>
      </c>
      <c r="F95" s="15" t="s">
        <v>1400</v>
      </c>
      <c r="G95" s="15" t="s">
        <v>1401</v>
      </c>
      <c r="H95" s="15" t="s">
        <v>1402</v>
      </c>
      <c r="I95" s="15" t="s">
        <v>1403</v>
      </c>
      <c r="J95" s="15" t="s">
        <v>1048</v>
      </c>
      <c r="K95" s="15" t="s">
        <v>1404</v>
      </c>
      <c r="L95" s="15"/>
      <c r="M95" s="16" t="s">
        <v>44</v>
      </c>
      <c r="N95" s="17"/>
      <c r="O95" s="17"/>
    </row>
    <row r="96" customFormat="false" ht="58.2" hidden="false" customHeight="false" outlineLevel="0" collapsed="false">
      <c r="A96" s="14" t="s">
        <v>1405</v>
      </c>
      <c r="B96" s="15" t="s">
        <v>1342</v>
      </c>
      <c r="C96" s="15" t="s">
        <v>182</v>
      </c>
      <c r="D96" s="15" t="s">
        <v>727</v>
      </c>
      <c r="E96" s="15" t="s">
        <v>1406</v>
      </c>
      <c r="F96" s="15" t="s">
        <v>1407</v>
      </c>
      <c r="G96" s="15" t="s">
        <v>1408</v>
      </c>
      <c r="H96" s="15" t="s">
        <v>1409</v>
      </c>
      <c r="I96" s="15" t="s">
        <v>1410</v>
      </c>
      <c r="J96" s="15" t="s">
        <v>1048</v>
      </c>
      <c r="K96" s="15" t="s">
        <v>1411</v>
      </c>
      <c r="L96" s="15"/>
      <c r="M96" s="16" t="s">
        <v>44</v>
      </c>
      <c r="N96" s="17"/>
      <c r="O96" s="17"/>
    </row>
    <row r="97" customFormat="false" ht="58.2" hidden="false" customHeight="false" outlineLevel="0" collapsed="false">
      <c r="A97" s="14" t="s">
        <v>1412</v>
      </c>
      <c r="B97" s="15" t="s">
        <v>1342</v>
      </c>
      <c r="C97" s="15" t="s">
        <v>182</v>
      </c>
      <c r="D97" s="15" t="s">
        <v>736</v>
      </c>
      <c r="E97" s="15" t="s">
        <v>1413</v>
      </c>
      <c r="F97" s="15" t="s">
        <v>1414</v>
      </c>
      <c r="G97" s="15" t="s">
        <v>1415</v>
      </c>
      <c r="H97" s="15" t="s">
        <v>1416</v>
      </c>
      <c r="I97" s="15" t="s">
        <v>1417</v>
      </c>
      <c r="J97" s="15" t="s">
        <v>1048</v>
      </c>
      <c r="K97" s="15" t="s">
        <v>1418</v>
      </c>
      <c r="L97" s="15"/>
      <c r="M97" s="16" t="s">
        <v>44</v>
      </c>
      <c r="N97" s="17"/>
      <c r="O97" s="17"/>
    </row>
    <row r="98" customFormat="false" ht="72.35" hidden="false" customHeight="false" outlineLevel="0" collapsed="false">
      <c r="A98" s="14" t="s">
        <v>1419</v>
      </c>
      <c r="B98" s="15" t="s">
        <v>1342</v>
      </c>
      <c r="C98" s="15" t="s">
        <v>182</v>
      </c>
      <c r="D98" s="15" t="s">
        <v>744</v>
      </c>
      <c r="E98" s="15" t="s">
        <v>1420</v>
      </c>
      <c r="F98" s="15" t="s">
        <v>1421</v>
      </c>
      <c r="G98" s="15" t="s">
        <v>1422</v>
      </c>
      <c r="H98" s="15" t="s">
        <v>1423</v>
      </c>
      <c r="I98" s="15" t="s">
        <v>1424</v>
      </c>
      <c r="J98" s="15" t="s">
        <v>1048</v>
      </c>
      <c r="K98" s="15" t="s">
        <v>1425</v>
      </c>
      <c r="L98" s="15" t="s">
        <v>1426</v>
      </c>
      <c r="M98" s="16" t="s">
        <v>44</v>
      </c>
      <c r="N98" s="17"/>
      <c r="O98" s="17"/>
    </row>
    <row r="99" customFormat="false" ht="58.2" hidden="false" customHeight="false" outlineLevel="0" collapsed="false">
      <c r="A99" s="14" t="s">
        <v>1427</v>
      </c>
      <c r="B99" s="15" t="s">
        <v>1342</v>
      </c>
      <c r="C99" s="15" t="s">
        <v>170</v>
      </c>
      <c r="D99" s="15" t="s">
        <v>727</v>
      </c>
      <c r="E99" s="15" t="s">
        <v>1428</v>
      </c>
      <c r="F99" s="15" t="s">
        <v>1429</v>
      </c>
      <c r="G99" s="15" t="s">
        <v>1430</v>
      </c>
      <c r="H99" s="15" t="s">
        <v>1431</v>
      </c>
      <c r="I99" s="15" t="s">
        <v>1432</v>
      </c>
      <c r="J99" s="15" t="s">
        <v>1048</v>
      </c>
      <c r="K99" s="15" t="s">
        <v>1433</v>
      </c>
      <c r="L99" s="15"/>
      <c r="M99" s="16" t="s">
        <v>44</v>
      </c>
      <c r="N99" s="17"/>
      <c r="O99" s="17"/>
    </row>
    <row r="100" customFormat="false" ht="58.2" hidden="false" customHeight="false" outlineLevel="0" collapsed="false">
      <c r="A100" s="14" t="s">
        <v>1434</v>
      </c>
      <c r="B100" s="15" t="s">
        <v>1342</v>
      </c>
      <c r="C100" s="15" t="s">
        <v>170</v>
      </c>
      <c r="D100" s="15" t="s">
        <v>736</v>
      </c>
      <c r="E100" s="15" t="s">
        <v>1435</v>
      </c>
      <c r="F100" s="15" t="s">
        <v>1436</v>
      </c>
      <c r="G100" s="15" t="s">
        <v>1437</v>
      </c>
      <c r="H100" s="15" t="s">
        <v>1438</v>
      </c>
      <c r="I100" s="15" t="s">
        <v>1439</v>
      </c>
      <c r="J100" s="15" t="s">
        <v>1048</v>
      </c>
      <c r="K100" s="15" t="s">
        <v>974</v>
      </c>
      <c r="L100" s="15"/>
      <c r="M100" s="16" t="s">
        <v>44</v>
      </c>
      <c r="N100" s="17"/>
      <c r="O100" s="17"/>
    </row>
    <row r="101" customFormat="false" ht="58.2" hidden="false" customHeight="false" outlineLevel="0" collapsed="false">
      <c r="A101" s="14" t="s">
        <v>1440</v>
      </c>
      <c r="B101" s="15" t="s">
        <v>1342</v>
      </c>
      <c r="C101" s="15" t="s">
        <v>170</v>
      </c>
      <c r="D101" s="15" t="s">
        <v>744</v>
      </c>
      <c r="E101" s="15" t="s">
        <v>1441</v>
      </c>
      <c r="F101" s="15" t="s">
        <v>1442</v>
      </c>
      <c r="G101" s="15" t="s">
        <v>1443</v>
      </c>
      <c r="H101" s="15" t="s">
        <v>1444</v>
      </c>
      <c r="I101" s="15" t="s">
        <v>1445</v>
      </c>
      <c r="J101" s="15" t="s">
        <v>1048</v>
      </c>
      <c r="K101" s="15" t="s">
        <v>1446</v>
      </c>
      <c r="L101" s="15"/>
      <c r="M101" s="16" t="s">
        <v>44</v>
      </c>
      <c r="N101" s="17"/>
      <c r="O101" s="17"/>
    </row>
    <row r="102" customFormat="false" ht="58.2" hidden="false" customHeight="false" outlineLevel="0" collapsed="false">
      <c r="A102" s="14" t="s">
        <v>1447</v>
      </c>
      <c r="B102" s="15" t="s">
        <v>1342</v>
      </c>
      <c r="C102" s="15" t="s">
        <v>838</v>
      </c>
      <c r="D102" s="15" t="s">
        <v>727</v>
      </c>
      <c r="E102" s="15" t="s">
        <v>1448</v>
      </c>
      <c r="F102" s="15" t="s">
        <v>1449</v>
      </c>
      <c r="G102" s="15" t="s">
        <v>1450</v>
      </c>
      <c r="H102" s="15" t="s">
        <v>1451</v>
      </c>
      <c r="I102" s="15" t="s">
        <v>1452</v>
      </c>
      <c r="J102" s="15" t="s">
        <v>1048</v>
      </c>
      <c r="K102" s="15" t="s">
        <v>1453</v>
      </c>
      <c r="L102" s="15"/>
      <c r="M102" s="16" t="s">
        <v>44</v>
      </c>
      <c r="N102" s="17"/>
      <c r="O102" s="17"/>
    </row>
    <row r="103" customFormat="false" ht="58.2" hidden="false" customHeight="false" outlineLevel="0" collapsed="false">
      <c r="A103" s="14" t="s">
        <v>1454</v>
      </c>
      <c r="B103" s="15" t="s">
        <v>1342</v>
      </c>
      <c r="C103" s="15" t="s">
        <v>838</v>
      </c>
      <c r="D103" s="15" t="s">
        <v>736</v>
      </c>
      <c r="E103" s="15" t="s">
        <v>1455</v>
      </c>
      <c r="F103" s="15" t="s">
        <v>1456</v>
      </c>
      <c r="G103" s="15" t="s">
        <v>1457</v>
      </c>
      <c r="H103" s="15" t="s">
        <v>1458</v>
      </c>
      <c r="I103" s="15" t="s">
        <v>1459</v>
      </c>
      <c r="J103" s="15" t="s">
        <v>1048</v>
      </c>
      <c r="K103" s="15" t="s">
        <v>1460</v>
      </c>
      <c r="L103" s="15"/>
      <c r="M103" s="16" t="s">
        <v>44</v>
      </c>
      <c r="N103" s="17"/>
      <c r="O103" s="17"/>
    </row>
    <row r="104" customFormat="false" ht="72.35" hidden="false" customHeight="false" outlineLevel="0" collapsed="false">
      <c r="A104" s="14" t="s">
        <v>1461</v>
      </c>
      <c r="B104" s="15" t="s">
        <v>1342</v>
      </c>
      <c r="C104" s="15" t="s">
        <v>838</v>
      </c>
      <c r="D104" s="15" t="s">
        <v>744</v>
      </c>
      <c r="E104" s="15" t="s">
        <v>1462</v>
      </c>
      <c r="F104" s="15" t="s">
        <v>1463</v>
      </c>
      <c r="G104" s="15" t="s">
        <v>1464</v>
      </c>
      <c r="H104" s="15" t="s">
        <v>1465</v>
      </c>
      <c r="I104" s="15" t="s">
        <v>1466</v>
      </c>
      <c r="J104" s="15" t="s">
        <v>1048</v>
      </c>
      <c r="K104" s="15" t="s">
        <v>1467</v>
      </c>
      <c r="L104" s="15"/>
      <c r="M104" s="16" t="s">
        <v>44</v>
      </c>
      <c r="N104" s="17"/>
      <c r="O104" s="17"/>
    </row>
    <row r="105" customFormat="false" ht="58.2" hidden="false" customHeight="false" outlineLevel="0" collapsed="false">
      <c r="A105" s="14" t="s">
        <v>1468</v>
      </c>
      <c r="B105" s="15" t="s">
        <v>1342</v>
      </c>
      <c r="C105" s="15" t="s">
        <v>860</v>
      </c>
      <c r="D105" s="15" t="s">
        <v>727</v>
      </c>
      <c r="E105" s="15" t="s">
        <v>1469</v>
      </c>
      <c r="F105" s="15" t="s">
        <v>1470</v>
      </c>
      <c r="G105" s="15" t="s">
        <v>1471</v>
      </c>
      <c r="H105" s="15" t="s">
        <v>1472</v>
      </c>
      <c r="I105" s="15" t="s">
        <v>1473</v>
      </c>
      <c r="J105" s="15" t="s">
        <v>1048</v>
      </c>
      <c r="K105" s="15" t="s">
        <v>1474</v>
      </c>
      <c r="L105" s="15"/>
      <c r="M105" s="16" t="s">
        <v>44</v>
      </c>
      <c r="N105" s="17"/>
      <c r="O105" s="17"/>
    </row>
    <row r="106" customFormat="false" ht="58.2" hidden="false" customHeight="false" outlineLevel="0" collapsed="false">
      <c r="A106" s="14" t="s">
        <v>1475</v>
      </c>
      <c r="B106" s="15" t="s">
        <v>1342</v>
      </c>
      <c r="C106" s="15" t="s">
        <v>860</v>
      </c>
      <c r="D106" s="15" t="s">
        <v>736</v>
      </c>
      <c r="E106" s="15" t="s">
        <v>1476</v>
      </c>
      <c r="F106" s="15" t="s">
        <v>1477</v>
      </c>
      <c r="G106" s="15" t="s">
        <v>1478</v>
      </c>
      <c r="H106" s="15" t="s">
        <v>1479</v>
      </c>
      <c r="I106" s="15" t="s">
        <v>1480</v>
      </c>
      <c r="J106" s="15" t="s">
        <v>1048</v>
      </c>
      <c r="K106" s="15" t="s">
        <v>1481</v>
      </c>
      <c r="L106" s="15"/>
      <c r="M106" s="16" t="s">
        <v>44</v>
      </c>
      <c r="N106" s="17"/>
      <c r="O106" s="17"/>
    </row>
    <row r="107" customFormat="false" ht="72.35" hidden="false" customHeight="false" outlineLevel="0" collapsed="false">
      <c r="A107" s="14" t="s">
        <v>1482</v>
      </c>
      <c r="B107" s="15" t="s">
        <v>1342</v>
      </c>
      <c r="C107" s="15" t="s">
        <v>860</v>
      </c>
      <c r="D107" s="15" t="s">
        <v>744</v>
      </c>
      <c r="E107" s="15" t="s">
        <v>1483</v>
      </c>
      <c r="F107" s="15" t="s">
        <v>1484</v>
      </c>
      <c r="G107" s="15" t="s">
        <v>1485</v>
      </c>
      <c r="H107" s="15" t="s">
        <v>1486</v>
      </c>
      <c r="I107" s="15" t="s">
        <v>1487</v>
      </c>
      <c r="J107" s="15" t="s">
        <v>1048</v>
      </c>
      <c r="K107" s="15" t="s">
        <v>1488</v>
      </c>
      <c r="L107" s="15"/>
      <c r="M107" s="16" t="s">
        <v>44</v>
      </c>
      <c r="N107" s="17"/>
      <c r="O107" s="17"/>
    </row>
  </sheetData>
  <autoFilter ref="A1:O107"/>
  <dataValidations count="1">
    <dataValidation allowBlank="false" errorStyle="stop" operator="between" showDropDown="false" showErrorMessage="false" showInputMessage="false" sqref="M2:M10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14.3"/>
    <col collapsed="false" customWidth="true" hidden="false" outlineLevel="0" max="6" min="6" style="0" width="37.4"/>
    <col collapsed="false" customWidth="true" hidden="false" outlineLevel="0" max="7" min="7" style="0" width="38.51"/>
    <col collapsed="false" customWidth="true" hidden="false" outlineLevel="0" max="8" min="8" style="0" width="55"/>
    <col collapsed="false" customWidth="true" hidden="false" outlineLevel="0" max="9" min="9" style="0" width="49.51"/>
    <col collapsed="false" customWidth="true" hidden="false" outlineLevel="0" max="10" min="10" style="0" width="52.8"/>
    <col collapsed="false" customWidth="true" hidden="false" outlineLevel="0" max="11" min="11" style="0" width="55"/>
    <col collapsed="false" customWidth="true" hidden="false" outlineLevel="0" max="12" min="12" style="0" width="15.39"/>
    <col collapsed="false" customWidth="true" hidden="false" outlineLevel="0" max="14" min="13" style="0" width="40"/>
  </cols>
  <sheetData>
    <row r="1" customFormat="false" ht="15" hidden="false" customHeight="false" outlineLevel="0" collapsed="false">
      <c r="A1" s="12" t="s">
        <v>148</v>
      </c>
      <c r="B1" s="13" t="s">
        <v>1489</v>
      </c>
      <c r="C1" s="13" t="s">
        <v>1490</v>
      </c>
      <c r="D1" s="13" t="s">
        <v>1491</v>
      </c>
      <c r="E1" s="13" t="s">
        <v>1492</v>
      </c>
      <c r="F1" s="13" t="s">
        <v>1493</v>
      </c>
      <c r="G1" s="13" t="s">
        <v>1494</v>
      </c>
      <c r="H1" s="13" t="s">
        <v>724</v>
      </c>
      <c r="I1" s="13" t="s">
        <v>1495</v>
      </c>
      <c r="J1" s="13" t="s">
        <v>1496</v>
      </c>
      <c r="K1" s="13" t="s">
        <v>159</v>
      </c>
      <c r="L1" s="13" t="s">
        <v>160</v>
      </c>
      <c r="M1" s="13" t="s">
        <v>161</v>
      </c>
      <c r="N1" s="13" t="s">
        <v>162</v>
      </c>
    </row>
    <row r="2" customFormat="false" ht="44" hidden="false" customHeight="false" outlineLevel="0" collapsed="false">
      <c r="A2" s="14" t="s">
        <v>1497</v>
      </c>
      <c r="B2" s="15" t="s">
        <v>247</v>
      </c>
      <c r="C2" s="14" t="s">
        <v>1498</v>
      </c>
      <c r="D2" s="14" t="s">
        <v>1499</v>
      </c>
      <c r="E2" s="15" t="s">
        <v>1500</v>
      </c>
      <c r="F2" s="15" t="s">
        <v>1501</v>
      </c>
      <c r="G2" s="15" t="s">
        <v>1502</v>
      </c>
      <c r="H2" s="15" t="s">
        <v>1503</v>
      </c>
      <c r="I2" s="15" t="s">
        <v>1504</v>
      </c>
      <c r="J2" s="15" t="s">
        <v>1505</v>
      </c>
      <c r="K2" s="15"/>
      <c r="L2" s="16" t="s">
        <v>44</v>
      </c>
      <c r="M2" s="17"/>
      <c r="N2" s="17"/>
    </row>
    <row r="3" customFormat="false" ht="58.2" hidden="false" customHeight="false" outlineLevel="0" collapsed="false">
      <c r="A3" s="14" t="s">
        <v>1506</v>
      </c>
      <c r="B3" s="15" t="s">
        <v>247</v>
      </c>
      <c r="C3" s="14" t="s">
        <v>1507</v>
      </c>
      <c r="D3" s="14" t="s">
        <v>1508</v>
      </c>
      <c r="E3" s="15" t="s">
        <v>1509</v>
      </c>
      <c r="F3" s="15" t="s">
        <v>1510</v>
      </c>
      <c r="G3" s="15" t="s">
        <v>1511</v>
      </c>
      <c r="H3" s="15" t="s">
        <v>1512</v>
      </c>
      <c r="I3" s="15" t="s">
        <v>1513</v>
      </c>
      <c r="J3" s="15" t="s">
        <v>1514</v>
      </c>
      <c r="K3" s="15" t="s">
        <v>1515</v>
      </c>
      <c r="L3" s="16" t="s">
        <v>44</v>
      </c>
      <c r="M3" s="17"/>
      <c r="N3" s="17"/>
    </row>
    <row r="4" customFormat="false" ht="44" hidden="false" customHeight="false" outlineLevel="0" collapsed="false">
      <c r="A4" s="14" t="s">
        <v>1516</v>
      </c>
      <c r="B4" s="15" t="s">
        <v>247</v>
      </c>
      <c r="C4" s="14" t="s">
        <v>1517</v>
      </c>
      <c r="D4" s="14" t="s">
        <v>1518</v>
      </c>
      <c r="E4" s="15" t="s">
        <v>1519</v>
      </c>
      <c r="F4" s="15" t="s">
        <v>1520</v>
      </c>
      <c r="G4" s="15" t="s">
        <v>1521</v>
      </c>
      <c r="H4" s="15" t="s">
        <v>1522</v>
      </c>
      <c r="I4" s="15" t="s">
        <v>1523</v>
      </c>
      <c r="J4" s="15" t="s">
        <v>1524</v>
      </c>
      <c r="K4" s="15"/>
      <c r="L4" s="16" t="s">
        <v>44</v>
      </c>
      <c r="M4" s="17"/>
      <c r="N4" s="17"/>
    </row>
    <row r="5" customFormat="false" ht="44" hidden="false" customHeight="false" outlineLevel="0" collapsed="false">
      <c r="A5" s="14" t="s">
        <v>1525</v>
      </c>
      <c r="B5" s="15" t="s">
        <v>247</v>
      </c>
      <c r="C5" s="14" t="s">
        <v>1526</v>
      </c>
      <c r="D5" s="14" t="s">
        <v>1527</v>
      </c>
      <c r="E5" s="15" t="s">
        <v>1528</v>
      </c>
      <c r="F5" s="15" t="s">
        <v>1529</v>
      </c>
      <c r="G5" s="15" t="s">
        <v>1530</v>
      </c>
      <c r="H5" s="15" t="s">
        <v>1531</v>
      </c>
      <c r="I5" s="15" t="s">
        <v>1532</v>
      </c>
      <c r="J5" s="15" t="s">
        <v>1533</v>
      </c>
      <c r="K5" s="15"/>
      <c r="L5" s="16" t="s">
        <v>44</v>
      </c>
      <c r="M5" s="17"/>
      <c r="N5" s="17"/>
    </row>
    <row r="6" customFormat="false" ht="44" hidden="false" customHeight="false" outlineLevel="0" collapsed="false">
      <c r="A6" s="14" t="s">
        <v>1534</v>
      </c>
      <c r="B6" s="15" t="s">
        <v>247</v>
      </c>
      <c r="C6" s="14" t="s">
        <v>1535</v>
      </c>
      <c r="D6" s="14" t="s">
        <v>1536</v>
      </c>
      <c r="E6" s="15" t="s">
        <v>1537</v>
      </c>
      <c r="F6" s="15" t="s">
        <v>1538</v>
      </c>
      <c r="G6" s="15" t="s">
        <v>1539</v>
      </c>
      <c r="H6" s="15" t="s">
        <v>1540</v>
      </c>
      <c r="I6" s="15" t="s">
        <v>1541</v>
      </c>
      <c r="J6" s="15" t="s">
        <v>1542</v>
      </c>
      <c r="K6" s="14" t="s">
        <v>1543</v>
      </c>
      <c r="L6" s="16" t="s">
        <v>44</v>
      </c>
      <c r="M6" s="17"/>
      <c r="N6" s="17"/>
    </row>
    <row r="7" customFormat="false" ht="44" hidden="false" customHeight="false" outlineLevel="0" collapsed="false">
      <c r="A7" s="14" t="s">
        <v>1544</v>
      </c>
      <c r="B7" s="15" t="s">
        <v>247</v>
      </c>
      <c r="C7" s="14" t="s">
        <v>1545</v>
      </c>
      <c r="D7" s="14" t="s">
        <v>1546</v>
      </c>
      <c r="E7" s="15" t="s">
        <v>1547</v>
      </c>
      <c r="F7" s="15" t="s">
        <v>1548</v>
      </c>
      <c r="G7" s="15" t="s">
        <v>1549</v>
      </c>
      <c r="H7" s="15" t="s">
        <v>1550</v>
      </c>
      <c r="I7" s="15" t="s">
        <v>1551</v>
      </c>
      <c r="J7" s="15" t="s">
        <v>1552</v>
      </c>
      <c r="K7" s="15"/>
      <c r="L7" s="16" t="s">
        <v>44</v>
      </c>
      <c r="M7" s="17"/>
      <c r="N7" s="17"/>
    </row>
    <row r="8" customFormat="false" ht="44" hidden="false" customHeight="false" outlineLevel="0" collapsed="false">
      <c r="A8" s="14" t="s">
        <v>1553</v>
      </c>
      <c r="B8" s="15" t="s">
        <v>247</v>
      </c>
      <c r="C8" s="14" t="s">
        <v>1554</v>
      </c>
      <c r="D8" s="14" t="s">
        <v>1555</v>
      </c>
      <c r="E8" s="15" t="s">
        <v>1556</v>
      </c>
      <c r="F8" s="15" t="s">
        <v>1557</v>
      </c>
      <c r="G8" s="15" t="s">
        <v>1558</v>
      </c>
      <c r="H8" s="15" t="s">
        <v>1559</v>
      </c>
      <c r="I8" s="15" t="s">
        <v>1560</v>
      </c>
      <c r="J8" s="15" t="s">
        <v>1561</v>
      </c>
      <c r="K8" s="15" t="s">
        <v>1562</v>
      </c>
      <c r="L8" s="16" t="s">
        <v>44</v>
      </c>
      <c r="M8" s="17"/>
      <c r="N8" s="17"/>
    </row>
    <row r="9" customFormat="false" ht="58.2" hidden="false" customHeight="false" outlineLevel="0" collapsed="false">
      <c r="A9" s="14" t="s">
        <v>1563</v>
      </c>
      <c r="B9" s="15" t="s">
        <v>247</v>
      </c>
      <c r="C9" s="14" t="s">
        <v>1564</v>
      </c>
      <c r="D9" s="14" t="s">
        <v>1565</v>
      </c>
      <c r="E9" s="15" t="s">
        <v>1566</v>
      </c>
      <c r="F9" s="15" t="s">
        <v>1567</v>
      </c>
      <c r="G9" s="15" t="s">
        <v>1568</v>
      </c>
      <c r="H9" s="15" t="s">
        <v>1569</v>
      </c>
      <c r="I9" s="15" t="s">
        <v>1570</v>
      </c>
      <c r="J9" s="15" t="s">
        <v>1571</v>
      </c>
      <c r="K9" s="15" t="s">
        <v>1572</v>
      </c>
      <c r="L9" s="16" t="s">
        <v>44</v>
      </c>
      <c r="M9" s="17"/>
      <c r="N9" s="17"/>
    </row>
    <row r="10" customFormat="false" ht="44" hidden="false" customHeight="false" outlineLevel="0" collapsed="false">
      <c r="A10" s="14" t="s">
        <v>1573</v>
      </c>
      <c r="B10" s="15" t="s">
        <v>247</v>
      </c>
      <c r="C10" s="14" t="s">
        <v>1574</v>
      </c>
      <c r="D10" s="14" t="s">
        <v>1575</v>
      </c>
      <c r="E10" s="15" t="s">
        <v>1576</v>
      </c>
      <c r="F10" s="15" t="s">
        <v>1577</v>
      </c>
      <c r="G10" s="15" t="s">
        <v>1578</v>
      </c>
      <c r="H10" s="15" t="s">
        <v>1579</v>
      </c>
      <c r="I10" s="15" t="s">
        <v>1580</v>
      </c>
      <c r="J10" s="15" t="s">
        <v>1581</v>
      </c>
      <c r="K10" s="15"/>
      <c r="L10" s="16" t="s">
        <v>44</v>
      </c>
      <c r="M10" s="17"/>
      <c r="N10" s="17"/>
    </row>
    <row r="11" customFormat="false" ht="44" hidden="false" customHeight="false" outlineLevel="0" collapsed="false">
      <c r="A11" s="14" t="s">
        <v>1582</v>
      </c>
      <c r="B11" s="15" t="s">
        <v>247</v>
      </c>
      <c r="C11" s="14" t="s">
        <v>1583</v>
      </c>
      <c r="D11" s="14" t="s">
        <v>1584</v>
      </c>
      <c r="E11" s="15" t="s">
        <v>1585</v>
      </c>
      <c r="F11" s="15" t="s">
        <v>1586</v>
      </c>
      <c r="G11" s="15" t="s">
        <v>1587</v>
      </c>
      <c r="H11" s="15" t="s">
        <v>1588</v>
      </c>
      <c r="I11" s="15" t="s">
        <v>1589</v>
      </c>
      <c r="J11" s="15" t="s">
        <v>1590</v>
      </c>
      <c r="K11" s="15"/>
      <c r="L11" s="16" t="s">
        <v>44</v>
      </c>
      <c r="M11" s="17"/>
      <c r="N11" s="17"/>
    </row>
    <row r="12" customFormat="false" ht="44" hidden="false" customHeight="false" outlineLevel="0" collapsed="false">
      <c r="A12" s="14" t="s">
        <v>1591</v>
      </c>
      <c r="B12" s="15" t="s">
        <v>247</v>
      </c>
      <c r="C12" s="14" t="s">
        <v>1592</v>
      </c>
      <c r="D12" s="14" t="s">
        <v>1593</v>
      </c>
      <c r="E12" s="15" t="s">
        <v>1594</v>
      </c>
      <c r="F12" s="15" t="s">
        <v>1595</v>
      </c>
      <c r="G12" s="15" t="s">
        <v>1596</v>
      </c>
      <c r="H12" s="15" t="s">
        <v>1597</v>
      </c>
      <c r="I12" s="15" t="s">
        <v>1598</v>
      </c>
      <c r="J12" s="15" t="s">
        <v>1599</v>
      </c>
      <c r="K12" s="15"/>
      <c r="L12" s="16" t="s">
        <v>44</v>
      </c>
      <c r="M12" s="17"/>
      <c r="N12" s="17"/>
    </row>
    <row r="13" customFormat="false" ht="44" hidden="false" customHeight="false" outlineLevel="0" collapsed="false">
      <c r="A13" s="14" t="s">
        <v>1600</v>
      </c>
      <c r="B13" s="15" t="s">
        <v>247</v>
      </c>
      <c r="C13" s="14" t="s">
        <v>1601</v>
      </c>
      <c r="D13" s="14" t="s">
        <v>1602</v>
      </c>
      <c r="E13" s="15" t="s">
        <v>1603</v>
      </c>
      <c r="F13" s="15" t="s">
        <v>1604</v>
      </c>
      <c r="G13" s="15" t="s">
        <v>1605</v>
      </c>
      <c r="H13" s="15" t="s">
        <v>1606</v>
      </c>
      <c r="I13" s="15" t="s">
        <v>1607</v>
      </c>
      <c r="J13" s="15" t="s">
        <v>1608</v>
      </c>
      <c r="K13" s="15" t="s">
        <v>1609</v>
      </c>
      <c r="L13" s="16" t="s">
        <v>44</v>
      </c>
      <c r="M13" s="17"/>
      <c r="N13" s="17"/>
    </row>
    <row r="14" customFormat="false" ht="58.2" hidden="false" customHeight="false" outlineLevel="0" collapsed="false">
      <c r="A14" s="14" t="s">
        <v>1610</v>
      </c>
      <c r="B14" s="15" t="s">
        <v>256</v>
      </c>
      <c r="C14" s="14" t="s">
        <v>1498</v>
      </c>
      <c r="D14" s="14" t="s">
        <v>1499</v>
      </c>
      <c r="E14" s="15" t="s">
        <v>1611</v>
      </c>
      <c r="F14" s="15" t="s">
        <v>1612</v>
      </c>
      <c r="G14" s="15" t="s">
        <v>1613</v>
      </c>
      <c r="H14" s="15" t="s">
        <v>1614</v>
      </c>
      <c r="I14" s="15" t="s">
        <v>1615</v>
      </c>
      <c r="J14" s="15" t="s">
        <v>1616</v>
      </c>
      <c r="K14" s="15"/>
      <c r="L14" s="16" t="s">
        <v>44</v>
      </c>
      <c r="M14" s="17"/>
      <c r="N14" s="17"/>
    </row>
    <row r="15" customFormat="false" ht="44" hidden="false" customHeight="false" outlineLevel="0" collapsed="false">
      <c r="A15" s="14" t="s">
        <v>1617</v>
      </c>
      <c r="B15" s="15" t="s">
        <v>256</v>
      </c>
      <c r="C15" s="14" t="s">
        <v>1507</v>
      </c>
      <c r="D15" s="14" t="s">
        <v>1508</v>
      </c>
      <c r="E15" s="15" t="s">
        <v>1618</v>
      </c>
      <c r="F15" s="15" t="s">
        <v>1619</v>
      </c>
      <c r="G15" s="15" t="s">
        <v>1620</v>
      </c>
      <c r="H15" s="15" t="s">
        <v>1621</v>
      </c>
      <c r="I15" s="15" t="s">
        <v>1622</v>
      </c>
      <c r="J15" s="15" t="s">
        <v>1623</v>
      </c>
      <c r="K15" s="14" t="s">
        <v>1624</v>
      </c>
      <c r="L15" s="16" t="s">
        <v>44</v>
      </c>
      <c r="M15" s="17"/>
      <c r="N15" s="17"/>
    </row>
    <row r="16" customFormat="false" ht="44" hidden="false" customHeight="false" outlineLevel="0" collapsed="false">
      <c r="A16" s="14" t="s">
        <v>1625</v>
      </c>
      <c r="B16" s="15" t="s">
        <v>256</v>
      </c>
      <c r="C16" s="14" t="s">
        <v>1517</v>
      </c>
      <c r="D16" s="14" t="s">
        <v>1518</v>
      </c>
      <c r="E16" s="15" t="s">
        <v>1626</v>
      </c>
      <c r="F16" s="15" t="s">
        <v>1627</v>
      </c>
      <c r="G16" s="15" t="s">
        <v>1628</v>
      </c>
      <c r="H16" s="15" t="s">
        <v>1629</v>
      </c>
      <c r="I16" s="15" t="s">
        <v>1630</v>
      </c>
      <c r="J16" s="15" t="s">
        <v>1631</v>
      </c>
      <c r="K16" s="15"/>
      <c r="L16" s="16" t="s">
        <v>44</v>
      </c>
      <c r="M16" s="17"/>
      <c r="N16" s="17"/>
    </row>
    <row r="17" customFormat="false" ht="44" hidden="false" customHeight="false" outlineLevel="0" collapsed="false">
      <c r="A17" s="14" t="s">
        <v>1632</v>
      </c>
      <c r="B17" s="15" t="s">
        <v>256</v>
      </c>
      <c r="C17" s="14" t="s">
        <v>1526</v>
      </c>
      <c r="D17" s="14" t="s">
        <v>1527</v>
      </c>
      <c r="E17" s="15" t="s">
        <v>1633</v>
      </c>
      <c r="F17" s="15" t="s">
        <v>1634</v>
      </c>
      <c r="G17" s="15" t="s">
        <v>1635</v>
      </c>
      <c r="H17" s="15" t="s">
        <v>1636</v>
      </c>
      <c r="I17" s="15" t="s">
        <v>1637</v>
      </c>
      <c r="J17" s="15" t="s">
        <v>1638</v>
      </c>
      <c r="K17" s="15" t="s">
        <v>1639</v>
      </c>
      <c r="L17" s="16" t="s">
        <v>44</v>
      </c>
      <c r="M17" s="17"/>
      <c r="N17" s="17"/>
    </row>
    <row r="18" customFormat="false" ht="44" hidden="false" customHeight="false" outlineLevel="0" collapsed="false">
      <c r="A18" s="14" t="s">
        <v>1640</v>
      </c>
      <c r="B18" s="15" t="s">
        <v>256</v>
      </c>
      <c r="C18" s="14" t="s">
        <v>1535</v>
      </c>
      <c r="D18" s="14" t="s">
        <v>1536</v>
      </c>
      <c r="E18" s="15" t="s">
        <v>1641</v>
      </c>
      <c r="F18" s="15" t="s">
        <v>1642</v>
      </c>
      <c r="G18" s="15" t="s">
        <v>1643</v>
      </c>
      <c r="H18" s="15" t="s">
        <v>1644</v>
      </c>
      <c r="I18" s="15" t="s">
        <v>1645</v>
      </c>
      <c r="J18" s="15" t="s">
        <v>1646</v>
      </c>
      <c r="K18" s="14" t="s">
        <v>1647</v>
      </c>
      <c r="L18" s="16" t="s">
        <v>44</v>
      </c>
      <c r="M18" s="17"/>
      <c r="N18" s="17"/>
    </row>
    <row r="19" customFormat="false" ht="44" hidden="false" customHeight="false" outlineLevel="0" collapsed="false">
      <c r="A19" s="14" t="s">
        <v>1648</v>
      </c>
      <c r="B19" s="15" t="s">
        <v>256</v>
      </c>
      <c r="C19" s="14" t="s">
        <v>1545</v>
      </c>
      <c r="D19" s="14" t="s">
        <v>1546</v>
      </c>
      <c r="E19" s="15" t="s">
        <v>1649</v>
      </c>
      <c r="F19" s="15" t="s">
        <v>1650</v>
      </c>
      <c r="G19" s="15" t="s">
        <v>1651</v>
      </c>
      <c r="H19" s="15" t="s">
        <v>1652</v>
      </c>
      <c r="I19" s="15" t="s">
        <v>1653</v>
      </c>
      <c r="J19" s="15" t="s">
        <v>1654</v>
      </c>
      <c r="K19" s="15" t="s">
        <v>1655</v>
      </c>
      <c r="L19" s="16" t="s">
        <v>44</v>
      </c>
      <c r="M19" s="17"/>
      <c r="N19" s="17"/>
    </row>
    <row r="20" customFormat="false" ht="58.2" hidden="false" customHeight="false" outlineLevel="0" collapsed="false">
      <c r="A20" s="14" t="s">
        <v>1656</v>
      </c>
      <c r="B20" s="15" t="s">
        <v>256</v>
      </c>
      <c r="C20" s="14" t="s">
        <v>1554</v>
      </c>
      <c r="D20" s="14" t="s">
        <v>1555</v>
      </c>
      <c r="E20" s="15" t="s">
        <v>1657</v>
      </c>
      <c r="F20" s="15" t="s">
        <v>1658</v>
      </c>
      <c r="G20" s="15" t="s">
        <v>1659</v>
      </c>
      <c r="H20" s="15" t="s">
        <v>1660</v>
      </c>
      <c r="I20" s="15" t="s">
        <v>1661</v>
      </c>
      <c r="J20" s="15" t="s">
        <v>1662</v>
      </c>
      <c r="K20" s="15" t="s">
        <v>1663</v>
      </c>
      <c r="L20" s="16" t="s">
        <v>44</v>
      </c>
      <c r="M20" s="17"/>
      <c r="N20" s="17"/>
    </row>
    <row r="21" customFormat="false" ht="58.2" hidden="false" customHeight="false" outlineLevel="0" collapsed="false">
      <c r="A21" s="14" t="s">
        <v>1664</v>
      </c>
      <c r="B21" s="15" t="s">
        <v>256</v>
      </c>
      <c r="C21" s="14" t="s">
        <v>1564</v>
      </c>
      <c r="D21" s="14" t="s">
        <v>1565</v>
      </c>
      <c r="E21" s="15" t="s">
        <v>1665</v>
      </c>
      <c r="F21" s="15" t="s">
        <v>1666</v>
      </c>
      <c r="G21" s="15" t="s">
        <v>1667</v>
      </c>
      <c r="H21" s="15" t="s">
        <v>1668</v>
      </c>
      <c r="I21" s="15" t="s">
        <v>1669</v>
      </c>
      <c r="J21" s="15" t="s">
        <v>1670</v>
      </c>
      <c r="K21" s="14" t="s">
        <v>1671</v>
      </c>
      <c r="L21" s="16" t="s">
        <v>44</v>
      </c>
      <c r="M21" s="17"/>
      <c r="N21" s="17"/>
    </row>
    <row r="22" customFormat="false" ht="44" hidden="false" customHeight="false" outlineLevel="0" collapsed="false">
      <c r="A22" s="14" t="s">
        <v>1672</v>
      </c>
      <c r="B22" s="15" t="s">
        <v>256</v>
      </c>
      <c r="C22" s="14" t="s">
        <v>1574</v>
      </c>
      <c r="D22" s="14" t="s">
        <v>1575</v>
      </c>
      <c r="E22" s="15" t="s">
        <v>1673</v>
      </c>
      <c r="F22" s="15" t="s">
        <v>1674</v>
      </c>
      <c r="G22" s="15" t="s">
        <v>1675</v>
      </c>
      <c r="H22" s="15" t="s">
        <v>1676</v>
      </c>
      <c r="I22" s="15" t="s">
        <v>1677</v>
      </c>
      <c r="J22" s="15" t="s">
        <v>1678</v>
      </c>
      <c r="K22" s="15"/>
      <c r="L22" s="16" t="s">
        <v>44</v>
      </c>
      <c r="M22" s="17"/>
      <c r="N22" s="17"/>
    </row>
    <row r="23" customFormat="false" ht="44" hidden="false" customHeight="false" outlineLevel="0" collapsed="false">
      <c r="A23" s="14" t="s">
        <v>1679</v>
      </c>
      <c r="B23" s="15" t="s">
        <v>256</v>
      </c>
      <c r="C23" s="14" t="s">
        <v>1583</v>
      </c>
      <c r="D23" s="14" t="s">
        <v>1584</v>
      </c>
      <c r="E23" s="15" t="s">
        <v>1680</v>
      </c>
      <c r="F23" s="15" t="s">
        <v>1681</v>
      </c>
      <c r="G23" s="15" t="s">
        <v>1682</v>
      </c>
      <c r="H23" s="15" t="s">
        <v>1683</v>
      </c>
      <c r="I23" s="15" t="s">
        <v>1684</v>
      </c>
      <c r="J23" s="15" t="s">
        <v>1685</v>
      </c>
      <c r="K23" s="15"/>
      <c r="L23" s="16" t="s">
        <v>44</v>
      </c>
      <c r="M23" s="17"/>
      <c r="N23" s="17"/>
    </row>
    <row r="24" customFormat="false" ht="44" hidden="false" customHeight="false" outlineLevel="0" collapsed="false">
      <c r="A24" s="14" t="s">
        <v>1686</v>
      </c>
      <c r="B24" s="15" t="s">
        <v>256</v>
      </c>
      <c r="C24" s="14" t="s">
        <v>1592</v>
      </c>
      <c r="D24" s="14" t="s">
        <v>1593</v>
      </c>
      <c r="E24" s="15" t="s">
        <v>1687</v>
      </c>
      <c r="F24" s="15" t="s">
        <v>1688</v>
      </c>
      <c r="G24" s="15" t="s">
        <v>1689</v>
      </c>
      <c r="H24" s="15" t="s">
        <v>1690</v>
      </c>
      <c r="I24" s="15" t="s">
        <v>1691</v>
      </c>
      <c r="J24" s="15" t="s">
        <v>1692</v>
      </c>
      <c r="K24" s="15" t="s">
        <v>1693</v>
      </c>
      <c r="L24" s="16" t="s">
        <v>44</v>
      </c>
      <c r="M24" s="17"/>
      <c r="N24" s="17"/>
    </row>
    <row r="25" customFormat="false" ht="58.2" hidden="false" customHeight="false" outlineLevel="0" collapsed="false">
      <c r="A25" s="14" t="s">
        <v>1694</v>
      </c>
      <c r="B25" s="15" t="s">
        <v>256</v>
      </c>
      <c r="C25" s="14" t="s">
        <v>1601</v>
      </c>
      <c r="D25" s="14" t="s">
        <v>1602</v>
      </c>
      <c r="E25" s="15" t="s">
        <v>1695</v>
      </c>
      <c r="F25" s="15" t="s">
        <v>1696</v>
      </c>
      <c r="G25" s="15" t="s">
        <v>1697</v>
      </c>
      <c r="H25" s="15" t="s">
        <v>1698</v>
      </c>
      <c r="I25" s="15" t="s">
        <v>1699</v>
      </c>
      <c r="J25" s="15" t="s">
        <v>1700</v>
      </c>
      <c r="K25" s="15" t="s">
        <v>1701</v>
      </c>
      <c r="L25" s="16" t="s">
        <v>44</v>
      </c>
      <c r="M25" s="17"/>
      <c r="N25" s="17"/>
    </row>
  </sheetData>
  <autoFilter ref="A1:N25"/>
  <dataValidations count="1">
    <dataValidation allowBlank="false" errorStyle="stop" operator="between" showDropDown="false" showErrorMessage="false" showInputMessage="false" sqref="L2:L2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3"/>
    <col collapsed="false" customWidth="true" hidden="false" outlineLevel="0" max="7" min="6" style="0" width="55"/>
    <col collapsed="false" customWidth="true" hidden="false" outlineLevel="0" max="8" min="8" style="0" width="48.4"/>
    <col collapsed="false" customWidth="true" hidden="false" outlineLevel="0" max="9" min="9" style="0" width="53.9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15" hidden="false" customHeight="false" outlineLevel="0" collapsed="false">
      <c r="A1" s="12" t="s">
        <v>148</v>
      </c>
      <c r="B1" s="13" t="s">
        <v>1489</v>
      </c>
      <c r="C1" s="13" t="s">
        <v>1490</v>
      </c>
      <c r="D1" s="13" t="s">
        <v>1491</v>
      </c>
      <c r="E1" s="13" t="s">
        <v>1702</v>
      </c>
      <c r="F1" s="13" t="s">
        <v>1703</v>
      </c>
      <c r="G1" s="13" t="s">
        <v>724</v>
      </c>
      <c r="H1" s="13" t="s">
        <v>1704</v>
      </c>
      <c r="I1" s="13" t="s">
        <v>159</v>
      </c>
      <c r="J1" s="13" t="s">
        <v>160</v>
      </c>
      <c r="K1" s="13" t="s">
        <v>161</v>
      </c>
      <c r="L1" s="13" t="s">
        <v>162</v>
      </c>
    </row>
    <row r="2" customFormat="false" ht="44" hidden="false" customHeight="false" outlineLevel="0" collapsed="false">
      <c r="A2" s="14" t="s">
        <v>1705</v>
      </c>
      <c r="B2" s="15" t="s">
        <v>1706</v>
      </c>
      <c r="C2" s="14" t="s">
        <v>1498</v>
      </c>
      <c r="D2" s="14" t="s">
        <v>1499</v>
      </c>
      <c r="E2" s="15" t="s">
        <v>1707</v>
      </c>
      <c r="F2" s="15" t="s">
        <v>1708</v>
      </c>
      <c r="G2" s="15" t="s">
        <v>1709</v>
      </c>
      <c r="H2" s="15" t="s">
        <v>1710</v>
      </c>
      <c r="I2" s="15"/>
      <c r="J2" s="16" t="s">
        <v>44</v>
      </c>
      <c r="K2" s="17"/>
      <c r="L2" s="17"/>
    </row>
    <row r="3" customFormat="false" ht="44" hidden="false" customHeight="false" outlineLevel="0" collapsed="false">
      <c r="A3" s="14" t="s">
        <v>1711</v>
      </c>
      <c r="B3" s="15" t="s">
        <v>1706</v>
      </c>
      <c r="C3" s="14" t="s">
        <v>1507</v>
      </c>
      <c r="D3" s="14" t="s">
        <v>1508</v>
      </c>
      <c r="E3" s="15" t="s">
        <v>1712</v>
      </c>
      <c r="F3" s="15" t="s">
        <v>1713</v>
      </c>
      <c r="G3" s="15" t="s">
        <v>1714</v>
      </c>
      <c r="H3" s="15" t="s">
        <v>1715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1716</v>
      </c>
      <c r="B4" s="15" t="s">
        <v>1706</v>
      </c>
      <c r="C4" s="14" t="s">
        <v>1517</v>
      </c>
      <c r="D4" s="14" t="s">
        <v>1518</v>
      </c>
      <c r="E4" s="15" t="s">
        <v>1717</v>
      </c>
      <c r="F4" s="15" t="s">
        <v>1718</v>
      </c>
      <c r="G4" s="15" t="s">
        <v>1719</v>
      </c>
      <c r="H4" s="15" t="s">
        <v>1720</v>
      </c>
      <c r="I4" s="15" t="s">
        <v>1721</v>
      </c>
      <c r="J4" s="16" t="s">
        <v>44</v>
      </c>
      <c r="K4" s="17"/>
      <c r="L4" s="17"/>
    </row>
    <row r="5" customFormat="false" ht="29.85" hidden="false" customHeight="false" outlineLevel="0" collapsed="false">
      <c r="A5" s="14" t="s">
        <v>1722</v>
      </c>
      <c r="B5" s="15" t="s">
        <v>1706</v>
      </c>
      <c r="C5" s="14" t="s">
        <v>1526</v>
      </c>
      <c r="D5" s="14" t="s">
        <v>1527</v>
      </c>
      <c r="E5" s="15" t="s">
        <v>1723</v>
      </c>
      <c r="F5" s="15" t="s">
        <v>1724</v>
      </c>
      <c r="G5" s="15" t="s">
        <v>1725</v>
      </c>
      <c r="H5" s="15" t="s">
        <v>1726</v>
      </c>
      <c r="I5" s="15"/>
      <c r="J5" s="16" t="s">
        <v>44</v>
      </c>
      <c r="K5" s="17"/>
      <c r="L5" s="17"/>
    </row>
    <row r="6" customFormat="false" ht="44" hidden="false" customHeight="false" outlineLevel="0" collapsed="false">
      <c r="A6" s="14" t="s">
        <v>1727</v>
      </c>
      <c r="B6" s="15" t="s">
        <v>1706</v>
      </c>
      <c r="C6" s="14" t="s">
        <v>1535</v>
      </c>
      <c r="D6" s="14" t="s">
        <v>1536</v>
      </c>
      <c r="E6" s="15" t="s">
        <v>1728</v>
      </c>
      <c r="F6" s="15" t="s">
        <v>1729</v>
      </c>
      <c r="G6" s="15" t="s">
        <v>1730</v>
      </c>
      <c r="H6" s="15" t="s">
        <v>1731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1732</v>
      </c>
      <c r="B7" s="15" t="s">
        <v>1706</v>
      </c>
      <c r="C7" s="14" t="s">
        <v>1545</v>
      </c>
      <c r="D7" s="14" t="s">
        <v>1546</v>
      </c>
      <c r="E7" s="15" t="s">
        <v>1733</v>
      </c>
      <c r="F7" s="15" t="s">
        <v>1734</v>
      </c>
      <c r="G7" s="15" t="s">
        <v>1735</v>
      </c>
      <c r="H7" s="15" t="s">
        <v>1736</v>
      </c>
      <c r="I7" s="15" t="s">
        <v>1737</v>
      </c>
      <c r="J7" s="16" t="s">
        <v>44</v>
      </c>
      <c r="K7" s="17"/>
      <c r="L7" s="17"/>
    </row>
    <row r="8" customFormat="false" ht="44" hidden="false" customHeight="false" outlineLevel="0" collapsed="false">
      <c r="A8" s="14" t="s">
        <v>1738</v>
      </c>
      <c r="B8" s="15" t="s">
        <v>1706</v>
      </c>
      <c r="C8" s="14" t="s">
        <v>1554</v>
      </c>
      <c r="D8" s="14" t="s">
        <v>1555</v>
      </c>
      <c r="E8" s="15" t="s">
        <v>1739</v>
      </c>
      <c r="F8" s="15" t="s">
        <v>1740</v>
      </c>
      <c r="G8" s="15" t="s">
        <v>1741</v>
      </c>
      <c r="H8" s="15" t="s">
        <v>1742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1743</v>
      </c>
      <c r="B9" s="15" t="s">
        <v>1706</v>
      </c>
      <c r="C9" s="14" t="s">
        <v>1564</v>
      </c>
      <c r="D9" s="14" t="s">
        <v>1565</v>
      </c>
      <c r="E9" s="15" t="s">
        <v>1744</v>
      </c>
      <c r="F9" s="15" t="s">
        <v>1745</v>
      </c>
      <c r="G9" s="15" t="s">
        <v>1746</v>
      </c>
      <c r="H9" s="15" t="s">
        <v>1747</v>
      </c>
      <c r="I9" s="15" t="s">
        <v>1748</v>
      </c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1749</v>
      </c>
      <c r="B10" s="15" t="s">
        <v>1706</v>
      </c>
      <c r="C10" s="14" t="s">
        <v>1574</v>
      </c>
      <c r="D10" s="14" t="s">
        <v>1575</v>
      </c>
      <c r="E10" s="15" t="s">
        <v>1750</v>
      </c>
      <c r="F10" s="15" t="s">
        <v>1751</v>
      </c>
      <c r="G10" s="15" t="s">
        <v>1752</v>
      </c>
      <c r="H10" s="15" t="s">
        <v>1753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1754</v>
      </c>
      <c r="B11" s="15" t="s">
        <v>1706</v>
      </c>
      <c r="C11" s="14" t="s">
        <v>1583</v>
      </c>
      <c r="D11" s="14" t="s">
        <v>1584</v>
      </c>
      <c r="E11" s="15" t="s">
        <v>1755</v>
      </c>
      <c r="F11" s="15" t="s">
        <v>1756</v>
      </c>
      <c r="G11" s="15" t="s">
        <v>1757</v>
      </c>
      <c r="H11" s="15" t="s">
        <v>1758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1759</v>
      </c>
      <c r="B12" s="15" t="s">
        <v>1706</v>
      </c>
      <c r="C12" s="14" t="s">
        <v>1592</v>
      </c>
      <c r="D12" s="14" t="s">
        <v>1593</v>
      </c>
      <c r="E12" s="15" t="s">
        <v>1760</v>
      </c>
      <c r="F12" s="15" t="s">
        <v>1761</v>
      </c>
      <c r="G12" s="15" t="s">
        <v>1762</v>
      </c>
      <c r="H12" s="15" t="s">
        <v>1763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1764</v>
      </c>
      <c r="B13" s="15" t="s">
        <v>1706</v>
      </c>
      <c r="C13" s="14" t="s">
        <v>1601</v>
      </c>
      <c r="D13" s="14" t="s">
        <v>1602</v>
      </c>
      <c r="E13" s="15" t="s">
        <v>1765</v>
      </c>
      <c r="F13" s="15" t="s">
        <v>1766</v>
      </c>
      <c r="G13" s="15" t="s">
        <v>1767</v>
      </c>
      <c r="H13" s="15" t="s">
        <v>1768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1769</v>
      </c>
      <c r="B14" s="15" t="s">
        <v>1770</v>
      </c>
      <c r="C14" s="14" t="s">
        <v>1498</v>
      </c>
      <c r="D14" s="14" t="s">
        <v>1499</v>
      </c>
      <c r="E14" s="15" t="s">
        <v>1771</v>
      </c>
      <c r="F14" s="15" t="s">
        <v>1772</v>
      </c>
      <c r="G14" s="15" t="s">
        <v>1773</v>
      </c>
      <c r="H14" s="15" t="s">
        <v>1774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1775</v>
      </c>
      <c r="B15" s="15" t="s">
        <v>1770</v>
      </c>
      <c r="C15" s="14" t="s">
        <v>1507</v>
      </c>
      <c r="D15" s="14" t="s">
        <v>1508</v>
      </c>
      <c r="E15" s="15" t="s">
        <v>1776</v>
      </c>
      <c r="F15" s="15" t="s">
        <v>1777</v>
      </c>
      <c r="G15" s="15" t="s">
        <v>1778</v>
      </c>
      <c r="H15" s="15" t="s">
        <v>1779</v>
      </c>
      <c r="I15" s="15" t="s">
        <v>1780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1781</v>
      </c>
      <c r="B16" s="15" t="s">
        <v>1770</v>
      </c>
      <c r="C16" s="14" t="s">
        <v>1517</v>
      </c>
      <c r="D16" s="14" t="s">
        <v>1518</v>
      </c>
      <c r="E16" s="15" t="s">
        <v>1782</v>
      </c>
      <c r="F16" s="15" t="s">
        <v>1783</v>
      </c>
      <c r="G16" s="15" t="s">
        <v>1784</v>
      </c>
      <c r="H16" s="15" t="s">
        <v>1785</v>
      </c>
      <c r="I16" s="15"/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1786</v>
      </c>
      <c r="B17" s="15" t="s">
        <v>1770</v>
      </c>
      <c r="C17" s="14" t="s">
        <v>1526</v>
      </c>
      <c r="D17" s="14" t="s">
        <v>1527</v>
      </c>
      <c r="E17" s="15" t="s">
        <v>1787</v>
      </c>
      <c r="F17" s="15" t="s">
        <v>1788</v>
      </c>
      <c r="G17" s="15" t="s">
        <v>1789</v>
      </c>
      <c r="H17" s="15" t="s">
        <v>1790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1791</v>
      </c>
      <c r="B18" s="15" t="s">
        <v>1770</v>
      </c>
      <c r="C18" s="14" t="s">
        <v>1535</v>
      </c>
      <c r="D18" s="14" t="s">
        <v>1536</v>
      </c>
      <c r="E18" s="15" t="s">
        <v>1792</v>
      </c>
      <c r="F18" s="15" t="s">
        <v>1793</v>
      </c>
      <c r="G18" s="15" t="s">
        <v>1794</v>
      </c>
      <c r="H18" s="15" t="s">
        <v>1795</v>
      </c>
      <c r="I18" s="15" t="s">
        <v>1796</v>
      </c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1797</v>
      </c>
      <c r="B19" s="15" t="s">
        <v>1770</v>
      </c>
      <c r="C19" s="14" t="s">
        <v>1545</v>
      </c>
      <c r="D19" s="14" t="s">
        <v>1546</v>
      </c>
      <c r="E19" s="15" t="s">
        <v>1798</v>
      </c>
      <c r="F19" s="15" t="s">
        <v>1799</v>
      </c>
      <c r="G19" s="15" t="s">
        <v>1800</v>
      </c>
      <c r="H19" s="15" t="s">
        <v>1801</v>
      </c>
      <c r="I19" s="15"/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1802</v>
      </c>
      <c r="B20" s="15" t="s">
        <v>1770</v>
      </c>
      <c r="C20" s="14" t="s">
        <v>1554</v>
      </c>
      <c r="D20" s="14" t="s">
        <v>1555</v>
      </c>
      <c r="E20" s="15" t="s">
        <v>1803</v>
      </c>
      <c r="F20" s="15" t="s">
        <v>1804</v>
      </c>
      <c r="G20" s="15" t="s">
        <v>1805</v>
      </c>
      <c r="H20" s="15" t="s">
        <v>1806</v>
      </c>
      <c r="I20" s="15" t="s">
        <v>1807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1808</v>
      </c>
      <c r="B21" s="15" t="s">
        <v>1770</v>
      </c>
      <c r="C21" s="14" t="s">
        <v>1564</v>
      </c>
      <c r="D21" s="14" t="s">
        <v>1565</v>
      </c>
      <c r="E21" s="15" t="s">
        <v>1809</v>
      </c>
      <c r="F21" s="15" t="s">
        <v>1810</v>
      </c>
      <c r="G21" s="15" t="s">
        <v>1811</v>
      </c>
      <c r="H21" s="15" t="s">
        <v>1812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1813</v>
      </c>
      <c r="B22" s="15" t="s">
        <v>1770</v>
      </c>
      <c r="C22" s="14" t="s">
        <v>1574</v>
      </c>
      <c r="D22" s="14" t="s">
        <v>1575</v>
      </c>
      <c r="E22" s="15" t="s">
        <v>1814</v>
      </c>
      <c r="F22" s="15" t="s">
        <v>1815</v>
      </c>
      <c r="G22" s="15" t="s">
        <v>1816</v>
      </c>
      <c r="H22" s="15" t="s">
        <v>1817</v>
      </c>
      <c r="I22" s="15"/>
      <c r="J22" s="16" t="s">
        <v>44</v>
      </c>
      <c r="K22" s="17"/>
      <c r="L22" s="17"/>
    </row>
    <row r="23" customFormat="false" ht="58.2" hidden="false" customHeight="false" outlineLevel="0" collapsed="false">
      <c r="A23" s="14" t="s">
        <v>1818</v>
      </c>
      <c r="B23" s="15" t="s">
        <v>1770</v>
      </c>
      <c r="C23" s="14" t="s">
        <v>1583</v>
      </c>
      <c r="D23" s="14" t="s">
        <v>1584</v>
      </c>
      <c r="E23" s="15" t="s">
        <v>1819</v>
      </c>
      <c r="F23" s="15" t="s">
        <v>1820</v>
      </c>
      <c r="G23" s="15" t="s">
        <v>1821</v>
      </c>
      <c r="H23" s="15" t="s">
        <v>1822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1823</v>
      </c>
      <c r="B24" s="15" t="s">
        <v>1770</v>
      </c>
      <c r="C24" s="14" t="s">
        <v>1592</v>
      </c>
      <c r="D24" s="14" t="s">
        <v>1593</v>
      </c>
      <c r="E24" s="15" t="s">
        <v>1824</v>
      </c>
      <c r="F24" s="15" t="s">
        <v>1825</v>
      </c>
      <c r="G24" s="15" t="s">
        <v>1826</v>
      </c>
      <c r="H24" s="15" t="s">
        <v>1827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1828</v>
      </c>
      <c r="B25" s="15" t="s">
        <v>1770</v>
      </c>
      <c r="C25" s="14" t="s">
        <v>1601</v>
      </c>
      <c r="D25" s="14" t="s">
        <v>1602</v>
      </c>
      <c r="E25" s="15" t="s">
        <v>1829</v>
      </c>
      <c r="F25" s="15" t="s">
        <v>1830</v>
      </c>
      <c r="G25" s="15" t="s">
        <v>1831</v>
      </c>
      <c r="H25" s="15" t="s">
        <v>1832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1833</v>
      </c>
      <c r="B26" s="15" t="s">
        <v>1834</v>
      </c>
      <c r="C26" s="14" t="s">
        <v>1498</v>
      </c>
      <c r="D26" s="14" t="s">
        <v>1499</v>
      </c>
      <c r="E26" s="15" t="s">
        <v>1835</v>
      </c>
      <c r="F26" s="15" t="s">
        <v>1836</v>
      </c>
      <c r="G26" s="15" t="s">
        <v>1837</v>
      </c>
      <c r="H26" s="15" t="s">
        <v>1838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1839</v>
      </c>
      <c r="B27" s="15" t="s">
        <v>1834</v>
      </c>
      <c r="C27" s="14" t="s">
        <v>1507</v>
      </c>
      <c r="D27" s="14" t="s">
        <v>1508</v>
      </c>
      <c r="E27" s="15" t="s">
        <v>1840</v>
      </c>
      <c r="F27" s="15" t="s">
        <v>1841</v>
      </c>
      <c r="G27" s="15" t="s">
        <v>1842</v>
      </c>
      <c r="H27" s="15" t="s">
        <v>1843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1844</v>
      </c>
      <c r="B28" s="15" t="s">
        <v>1834</v>
      </c>
      <c r="C28" s="14" t="s">
        <v>1517</v>
      </c>
      <c r="D28" s="14" t="s">
        <v>1518</v>
      </c>
      <c r="E28" s="15" t="s">
        <v>1845</v>
      </c>
      <c r="F28" s="15" t="s">
        <v>1846</v>
      </c>
      <c r="G28" s="15" t="s">
        <v>1847</v>
      </c>
      <c r="H28" s="15" t="s">
        <v>1848</v>
      </c>
      <c r="I28" s="15" t="s">
        <v>1849</v>
      </c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1850</v>
      </c>
      <c r="B29" s="15" t="s">
        <v>1834</v>
      </c>
      <c r="C29" s="14" t="s">
        <v>1526</v>
      </c>
      <c r="D29" s="14" t="s">
        <v>1527</v>
      </c>
      <c r="E29" s="15" t="s">
        <v>1851</v>
      </c>
      <c r="F29" s="15" t="s">
        <v>1852</v>
      </c>
      <c r="G29" s="15" t="s">
        <v>1853</v>
      </c>
      <c r="H29" s="15" t="s">
        <v>1854</v>
      </c>
      <c r="I29" s="15" t="s">
        <v>1855</v>
      </c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1856</v>
      </c>
      <c r="B30" s="15" t="s">
        <v>1834</v>
      </c>
      <c r="C30" s="14" t="s">
        <v>1535</v>
      </c>
      <c r="D30" s="14" t="s">
        <v>1536</v>
      </c>
      <c r="E30" s="15" t="s">
        <v>1857</v>
      </c>
      <c r="F30" s="15" t="s">
        <v>1858</v>
      </c>
      <c r="G30" s="15" t="s">
        <v>1859</v>
      </c>
      <c r="H30" s="15" t="s">
        <v>1860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1861</v>
      </c>
      <c r="B31" s="15" t="s">
        <v>1834</v>
      </c>
      <c r="C31" s="14" t="s">
        <v>1545</v>
      </c>
      <c r="D31" s="14" t="s">
        <v>1546</v>
      </c>
      <c r="E31" s="15" t="s">
        <v>1862</v>
      </c>
      <c r="F31" s="15" t="s">
        <v>1863</v>
      </c>
      <c r="G31" s="15" t="s">
        <v>1864</v>
      </c>
      <c r="H31" s="15" t="s">
        <v>1865</v>
      </c>
      <c r="I31" s="15" t="s">
        <v>1866</v>
      </c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1867</v>
      </c>
      <c r="B32" s="15" t="s">
        <v>1834</v>
      </c>
      <c r="C32" s="14" t="s">
        <v>1554</v>
      </c>
      <c r="D32" s="14" t="s">
        <v>1555</v>
      </c>
      <c r="E32" s="15" t="s">
        <v>1868</v>
      </c>
      <c r="F32" s="15" t="s">
        <v>1869</v>
      </c>
      <c r="G32" s="15" t="s">
        <v>1870</v>
      </c>
      <c r="H32" s="15" t="s">
        <v>1871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1872</v>
      </c>
      <c r="B33" s="15" t="s">
        <v>1834</v>
      </c>
      <c r="C33" s="14" t="s">
        <v>1564</v>
      </c>
      <c r="D33" s="14" t="s">
        <v>1565</v>
      </c>
      <c r="E33" s="15" t="s">
        <v>1873</v>
      </c>
      <c r="F33" s="15" t="s">
        <v>1874</v>
      </c>
      <c r="G33" s="15" t="s">
        <v>1875</v>
      </c>
      <c r="H33" s="15" t="s">
        <v>1876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1877</v>
      </c>
      <c r="B34" s="15" t="s">
        <v>1834</v>
      </c>
      <c r="C34" s="14" t="s">
        <v>1574</v>
      </c>
      <c r="D34" s="14" t="s">
        <v>1575</v>
      </c>
      <c r="E34" s="15" t="s">
        <v>1878</v>
      </c>
      <c r="F34" s="15" t="s">
        <v>1879</v>
      </c>
      <c r="G34" s="15" t="s">
        <v>1880</v>
      </c>
      <c r="H34" s="15" t="s">
        <v>1881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1882</v>
      </c>
      <c r="B35" s="15" t="s">
        <v>1834</v>
      </c>
      <c r="C35" s="14" t="s">
        <v>1583</v>
      </c>
      <c r="D35" s="14" t="s">
        <v>1584</v>
      </c>
      <c r="E35" s="15" t="s">
        <v>1883</v>
      </c>
      <c r="F35" s="15" t="s">
        <v>1884</v>
      </c>
      <c r="G35" s="15" t="s">
        <v>1885</v>
      </c>
      <c r="H35" s="15" t="s">
        <v>1886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1887</v>
      </c>
      <c r="B36" s="15" t="s">
        <v>1834</v>
      </c>
      <c r="C36" s="14" t="s">
        <v>1592</v>
      </c>
      <c r="D36" s="14" t="s">
        <v>1593</v>
      </c>
      <c r="E36" s="15" t="s">
        <v>1888</v>
      </c>
      <c r="F36" s="15" t="s">
        <v>1889</v>
      </c>
      <c r="G36" s="15" t="s">
        <v>1890</v>
      </c>
      <c r="H36" s="15" t="s">
        <v>1891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1892</v>
      </c>
      <c r="B37" s="15" t="s">
        <v>1834</v>
      </c>
      <c r="C37" s="14" t="s">
        <v>1601</v>
      </c>
      <c r="D37" s="14" t="s">
        <v>1602</v>
      </c>
      <c r="E37" s="15" t="s">
        <v>1893</v>
      </c>
      <c r="F37" s="15" t="s">
        <v>1894</v>
      </c>
      <c r="G37" s="15" t="s">
        <v>1895</v>
      </c>
      <c r="H37" s="15" t="s">
        <v>1896</v>
      </c>
      <c r="I37" s="15"/>
      <c r="J37" s="16" t="s">
        <v>44</v>
      </c>
      <c r="K37" s="17"/>
      <c r="L37" s="17"/>
    </row>
  </sheetData>
  <autoFilter ref="A1:L37"/>
  <dataValidations count="1">
    <dataValidation allowBlank="false" errorStyle="stop" operator="between" showDropDown="false" showErrorMessage="false" showInputMessage="false" sqref="J2:J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.8"/>
    <col collapsed="false" customWidth="true" hidden="false" outlineLevel="0" max="3" min="3" style="0" width="24.2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148</v>
      </c>
      <c r="B1" s="13" t="s">
        <v>1897</v>
      </c>
      <c r="C1" s="13" t="s">
        <v>1898</v>
      </c>
      <c r="D1" s="13" t="s">
        <v>1899</v>
      </c>
      <c r="E1" s="13" t="s">
        <v>1900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29.85" hidden="false" customHeight="false" outlineLevel="0" collapsed="false">
      <c r="A2" s="14" t="s">
        <v>1901</v>
      </c>
      <c r="B2" s="14" t="s">
        <v>1902</v>
      </c>
      <c r="C2" s="15" t="s">
        <v>1903</v>
      </c>
      <c r="D2" s="15" t="s">
        <v>1904</v>
      </c>
      <c r="E2" s="15" t="s">
        <v>1905</v>
      </c>
      <c r="F2" s="15" t="s">
        <v>1906</v>
      </c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1907</v>
      </c>
      <c r="B3" s="14" t="s">
        <v>1908</v>
      </c>
      <c r="C3" s="15" t="s">
        <v>1909</v>
      </c>
      <c r="D3" s="15" t="s">
        <v>1910</v>
      </c>
      <c r="E3" s="15" t="s">
        <v>1911</v>
      </c>
      <c r="F3" s="15" t="s">
        <v>1912</v>
      </c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1913</v>
      </c>
      <c r="B4" s="14" t="s">
        <v>1914</v>
      </c>
      <c r="C4" s="15" t="s">
        <v>1915</v>
      </c>
      <c r="D4" s="15" t="s">
        <v>1916</v>
      </c>
      <c r="E4" s="15" t="s">
        <v>1917</v>
      </c>
      <c r="F4" s="15" t="s">
        <v>1918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1919</v>
      </c>
      <c r="B5" s="14" t="s">
        <v>1920</v>
      </c>
      <c r="C5" s="15" t="s">
        <v>1921</v>
      </c>
      <c r="D5" s="15" t="s">
        <v>1922</v>
      </c>
      <c r="E5" s="15" t="s">
        <v>1923</v>
      </c>
      <c r="F5" s="15" t="s">
        <v>1918</v>
      </c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1924</v>
      </c>
      <c r="B6" s="14" t="s">
        <v>1925</v>
      </c>
      <c r="C6" s="15" t="s">
        <v>1926</v>
      </c>
      <c r="D6" s="15" t="s">
        <v>1927</v>
      </c>
      <c r="E6" s="15" t="s">
        <v>1928</v>
      </c>
      <c r="F6" s="15" t="s">
        <v>1929</v>
      </c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1930</v>
      </c>
      <c r="B7" s="14" t="s">
        <v>1931</v>
      </c>
      <c r="C7" s="15" t="s">
        <v>1932</v>
      </c>
      <c r="D7" s="15" t="s">
        <v>1933</v>
      </c>
      <c r="E7" s="15" t="s">
        <v>1934</v>
      </c>
      <c r="F7" s="15" t="s">
        <v>1935</v>
      </c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1936</v>
      </c>
      <c r="B8" s="14" t="s">
        <v>1937</v>
      </c>
      <c r="C8" s="15" t="s">
        <v>1938</v>
      </c>
      <c r="D8" s="15" t="s">
        <v>1939</v>
      </c>
      <c r="E8" s="15" t="s">
        <v>1940</v>
      </c>
      <c r="F8" s="15" t="s">
        <v>1941</v>
      </c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1942</v>
      </c>
      <c r="B9" s="14" t="s">
        <v>1943</v>
      </c>
      <c r="C9" s="15" t="s">
        <v>1944</v>
      </c>
      <c r="D9" s="15" t="s">
        <v>1945</v>
      </c>
      <c r="E9" s="15" t="s">
        <v>1946</v>
      </c>
      <c r="F9" s="15" t="s">
        <v>1947</v>
      </c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1948</v>
      </c>
      <c r="B10" s="14" t="s">
        <v>1949</v>
      </c>
      <c r="C10" s="15" t="s">
        <v>1950</v>
      </c>
      <c r="D10" s="15" t="s">
        <v>1951</v>
      </c>
      <c r="E10" s="15" t="s">
        <v>1952</v>
      </c>
      <c r="F10" s="15" t="s">
        <v>1918</v>
      </c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1953</v>
      </c>
      <c r="B11" s="14" t="s">
        <v>1954</v>
      </c>
      <c r="C11" s="15" t="s">
        <v>1955</v>
      </c>
      <c r="D11" s="15" t="s">
        <v>1956</v>
      </c>
      <c r="E11" s="15" t="s">
        <v>1957</v>
      </c>
      <c r="F11" s="15" t="s">
        <v>1958</v>
      </c>
      <c r="G11" s="16" t="s">
        <v>44</v>
      </c>
      <c r="H11" s="17"/>
      <c r="I11" s="17"/>
    </row>
  </sheetData>
  <autoFilter ref="A1:I11"/>
  <dataValidations count="1">
    <dataValidation allowBlank="false" errorStyle="stop" operator="between" showDropDown="false" showErrorMessage="false" showInputMessage="false" sqref="G2:G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8" min="4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7.6" hidden="false" customHeight="false" outlineLevel="0" collapsed="false">
      <c r="A1" s="12" t="s">
        <v>148</v>
      </c>
      <c r="B1" s="12" t="s">
        <v>1959</v>
      </c>
      <c r="C1" s="13" t="s">
        <v>1960</v>
      </c>
      <c r="D1" s="13" t="s">
        <v>1961</v>
      </c>
      <c r="E1" s="13" t="s">
        <v>1962</v>
      </c>
      <c r="F1" s="13" t="s">
        <v>1963</v>
      </c>
      <c r="G1" s="13" t="s">
        <v>1964</v>
      </c>
      <c r="H1" s="13" t="s">
        <v>159</v>
      </c>
      <c r="I1" s="13" t="s">
        <v>160</v>
      </c>
      <c r="J1" s="13" t="s">
        <v>161</v>
      </c>
      <c r="K1" s="13" t="s">
        <v>162</v>
      </c>
    </row>
    <row r="2" customFormat="false" ht="29.85" hidden="false" customHeight="false" outlineLevel="0" collapsed="false">
      <c r="A2" s="14" t="s">
        <v>1965</v>
      </c>
      <c r="B2" s="15" t="s">
        <v>1966</v>
      </c>
      <c r="C2" s="14" t="s">
        <v>1967</v>
      </c>
      <c r="D2" s="15" t="s">
        <v>1968</v>
      </c>
      <c r="E2" s="15" t="s">
        <v>1969</v>
      </c>
      <c r="F2" s="15" t="s">
        <v>1970</v>
      </c>
      <c r="G2" s="15"/>
      <c r="H2" s="15"/>
      <c r="I2" s="16" t="s">
        <v>44</v>
      </c>
      <c r="J2" s="17"/>
      <c r="K2" s="17"/>
    </row>
    <row r="3" customFormat="false" ht="29.85" hidden="false" customHeight="false" outlineLevel="0" collapsed="false">
      <c r="A3" s="14" t="s">
        <v>1971</v>
      </c>
      <c r="B3" s="15" t="s">
        <v>1972</v>
      </c>
      <c r="C3" s="14" t="s">
        <v>1967</v>
      </c>
      <c r="D3" s="15" t="s">
        <v>1973</v>
      </c>
      <c r="E3" s="15" t="s">
        <v>1974</v>
      </c>
      <c r="F3" s="15" t="s">
        <v>1975</v>
      </c>
      <c r="G3" s="15"/>
      <c r="H3" s="15"/>
      <c r="I3" s="16" t="s">
        <v>44</v>
      </c>
      <c r="J3" s="17"/>
      <c r="K3" s="17"/>
    </row>
    <row r="4" customFormat="false" ht="29.85" hidden="false" customHeight="false" outlineLevel="0" collapsed="false">
      <c r="A4" s="14" t="s">
        <v>1976</v>
      </c>
      <c r="B4" s="15" t="s">
        <v>1977</v>
      </c>
      <c r="C4" s="14" t="s">
        <v>1967</v>
      </c>
      <c r="D4" s="15" t="s">
        <v>1978</v>
      </c>
      <c r="E4" s="15" t="s">
        <v>1979</v>
      </c>
      <c r="F4" s="15" t="s">
        <v>1980</v>
      </c>
      <c r="G4" s="15"/>
      <c r="H4" s="14" t="s">
        <v>1981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1982</v>
      </c>
      <c r="B5" s="15" t="s">
        <v>1983</v>
      </c>
      <c r="C5" s="14" t="s">
        <v>1967</v>
      </c>
      <c r="D5" s="15" t="s">
        <v>1984</v>
      </c>
      <c r="E5" s="15" t="s">
        <v>1985</v>
      </c>
      <c r="F5" s="15" t="s">
        <v>1986</v>
      </c>
      <c r="G5" s="15"/>
      <c r="H5" s="15"/>
      <c r="I5" s="16" t="s">
        <v>44</v>
      </c>
      <c r="J5" s="17"/>
      <c r="K5" s="17"/>
    </row>
    <row r="6" customFormat="false" ht="29.85" hidden="false" customHeight="false" outlineLevel="0" collapsed="false">
      <c r="A6" s="14" t="s">
        <v>1987</v>
      </c>
      <c r="B6" s="15" t="s">
        <v>1988</v>
      </c>
      <c r="C6" s="14" t="s">
        <v>1967</v>
      </c>
      <c r="D6" s="15" t="s">
        <v>1989</v>
      </c>
      <c r="E6" s="15" t="s">
        <v>1990</v>
      </c>
      <c r="F6" s="15" t="s">
        <v>1991</v>
      </c>
      <c r="G6" s="15"/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1992</v>
      </c>
      <c r="B7" s="15" t="s">
        <v>1993</v>
      </c>
      <c r="C7" s="14" t="s">
        <v>1994</v>
      </c>
      <c r="D7" s="15" t="s">
        <v>1995</v>
      </c>
      <c r="E7" s="15" t="s">
        <v>1996</v>
      </c>
      <c r="F7" s="15" t="s">
        <v>1997</v>
      </c>
      <c r="G7" s="15" t="s">
        <v>1998</v>
      </c>
      <c r="H7" s="15" t="s">
        <v>1999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2000</v>
      </c>
      <c r="B8" s="15" t="s">
        <v>2001</v>
      </c>
      <c r="C8" s="14" t="s">
        <v>1994</v>
      </c>
      <c r="D8" s="15" t="s">
        <v>2002</v>
      </c>
      <c r="E8" s="15" t="s">
        <v>2003</v>
      </c>
      <c r="F8" s="15" t="s">
        <v>2004</v>
      </c>
      <c r="G8" s="15" t="s">
        <v>2005</v>
      </c>
      <c r="H8" s="14" t="s">
        <v>2006</v>
      </c>
      <c r="I8" s="16" t="s">
        <v>44</v>
      </c>
      <c r="J8" s="17"/>
      <c r="K8" s="17"/>
    </row>
    <row r="9" customFormat="false" ht="44" hidden="false" customHeight="false" outlineLevel="0" collapsed="false">
      <c r="A9" s="14" t="s">
        <v>2007</v>
      </c>
      <c r="B9" s="15" t="s">
        <v>2008</v>
      </c>
      <c r="C9" s="14" t="s">
        <v>1994</v>
      </c>
      <c r="D9" s="15" t="s">
        <v>2009</v>
      </c>
      <c r="E9" s="15" t="s">
        <v>2010</v>
      </c>
      <c r="F9" s="15" t="s">
        <v>2011</v>
      </c>
      <c r="G9" s="15" t="s">
        <v>2012</v>
      </c>
      <c r="H9" s="15" t="s">
        <v>2013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2014</v>
      </c>
      <c r="B10" s="15" t="s">
        <v>2015</v>
      </c>
      <c r="C10" s="14" t="s">
        <v>1967</v>
      </c>
      <c r="D10" s="15" t="s">
        <v>2016</v>
      </c>
      <c r="E10" s="15" t="s">
        <v>2017</v>
      </c>
      <c r="F10" s="15" t="s">
        <v>2018</v>
      </c>
      <c r="G10" s="15"/>
      <c r="H10" s="15"/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2019</v>
      </c>
      <c r="B11" s="15" t="s">
        <v>2020</v>
      </c>
      <c r="C11" s="14" t="s">
        <v>1967</v>
      </c>
      <c r="D11" s="15" t="s">
        <v>2021</v>
      </c>
      <c r="E11" s="15" t="s">
        <v>2022</v>
      </c>
      <c r="F11" s="15" t="s">
        <v>2023</v>
      </c>
      <c r="G11" s="15"/>
      <c r="H11" s="15"/>
      <c r="I11" s="16" t="s">
        <v>44</v>
      </c>
      <c r="J11" s="17"/>
      <c r="K11" s="17"/>
    </row>
  </sheetData>
  <autoFilter ref="A1:K11"/>
  <dataValidations count="1">
    <dataValidation allowBlank="false" errorStyle="stop" operator="between" showDropDown="false" showErrorMessage="false" showInputMessage="false" sqref="I2:I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9.6"/>
    <col collapsed="false" customWidth="true" hidden="false" outlineLevel="0" max="4" min="4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39.55" hidden="false" customHeight="false" outlineLevel="0" collapsed="false">
      <c r="A1" s="12" t="s">
        <v>148</v>
      </c>
      <c r="B1" s="12" t="s">
        <v>1959</v>
      </c>
      <c r="C1" s="13" t="s">
        <v>2024</v>
      </c>
      <c r="D1" s="13" t="s">
        <v>2025</v>
      </c>
      <c r="E1" s="13" t="s">
        <v>2026</v>
      </c>
      <c r="F1" s="13" t="s">
        <v>2027</v>
      </c>
      <c r="G1" s="13" t="s">
        <v>160</v>
      </c>
      <c r="H1" s="13" t="s">
        <v>161</v>
      </c>
      <c r="I1" s="13" t="s">
        <v>162</v>
      </c>
    </row>
    <row r="2" customFormat="false" ht="29.85" hidden="false" customHeight="false" outlineLevel="0" collapsed="false">
      <c r="A2" s="14" t="s">
        <v>2028</v>
      </c>
      <c r="B2" s="15" t="s">
        <v>1966</v>
      </c>
      <c r="C2" s="14" t="s">
        <v>2029</v>
      </c>
      <c r="D2" s="15" t="n">
        <v>2</v>
      </c>
      <c r="E2" s="15" t="s">
        <v>2030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2031</v>
      </c>
      <c r="B3" s="15" t="s">
        <v>1966</v>
      </c>
      <c r="C3" s="14" t="s">
        <v>2029</v>
      </c>
      <c r="D3" s="15" t="n">
        <v>3</v>
      </c>
      <c r="E3" s="15" t="s">
        <v>2032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2033</v>
      </c>
      <c r="B4" s="15" t="s">
        <v>1966</v>
      </c>
      <c r="C4" s="14" t="s">
        <v>2029</v>
      </c>
      <c r="D4" s="15" t="n">
        <v>4</v>
      </c>
      <c r="E4" s="15" t="s">
        <v>2034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2035</v>
      </c>
      <c r="B5" s="15" t="s">
        <v>1966</v>
      </c>
      <c r="C5" s="14" t="s">
        <v>2029</v>
      </c>
      <c r="D5" s="15" t="n">
        <v>5</v>
      </c>
      <c r="E5" s="15" t="s">
        <v>2036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2037</v>
      </c>
      <c r="B6" s="15" t="s">
        <v>1966</v>
      </c>
      <c r="C6" s="14" t="s">
        <v>2038</v>
      </c>
      <c r="D6" s="15" t="n">
        <v>2</v>
      </c>
      <c r="E6" s="15" t="s">
        <v>2039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2040</v>
      </c>
      <c r="B7" s="15" t="s">
        <v>1966</v>
      </c>
      <c r="C7" s="14" t="s">
        <v>2038</v>
      </c>
      <c r="D7" s="15" t="n">
        <v>3</v>
      </c>
      <c r="E7" s="15" t="s">
        <v>2041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2042</v>
      </c>
      <c r="B8" s="15" t="s">
        <v>1966</v>
      </c>
      <c r="C8" s="14" t="s">
        <v>2038</v>
      </c>
      <c r="D8" s="15" t="n">
        <v>4</v>
      </c>
      <c r="E8" s="15" t="s">
        <v>2043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2044</v>
      </c>
      <c r="B9" s="15" t="s">
        <v>1966</v>
      </c>
      <c r="C9" s="14" t="s">
        <v>2038</v>
      </c>
      <c r="D9" s="15" t="n">
        <v>5</v>
      </c>
      <c r="E9" s="15" t="s">
        <v>2045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2046</v>
      </c>
      <c r="B10" s="15" t="s">
        <v>1966</v>
      </c>
      <c r="C10" s="14" t="s">
        <v>2047</v>
      </c>
      <c r="D10" s="15" t="n">
        <v>2</v>
      </c>
      <c r="E10" s="15" t="s">
        <v>2048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2049</v>
      </c>
      <c r="B11" s="15" t="s">
        <v>1966</v>
      </c>
      <c r="C11" s="14" t="s">
        <v>2047</v>
      </c>
      <c r="D11" s="15" t="n">
        <v>3</v>
      </c>
      <c r="E11" s="15" t="s">
        <v>2050</v>
      </c>
      <c r="F11" s="15"/>
      <c r="G11" s="16" t="s">
        <v>44</v>
      </c>
      <c r="H11" s="17"/>
      <c r="I11" s="17"/>
    </row>
    <row r="12" customFormat="false" ht="29.85" hidden="false" customHeight="false" outlineLevel="0" collapsed="false">
      <c r="A12" s="14" t="s">
        <v>2051</v>
      </c>
      <c r="B12" s="15" t="s">
        <v>1966</v>
      </c>
      <c r="C12" s="14" t="s">
        <v>2047</v>
      </c>
      <c r="D12" s="15" t="n">
        <v>4</v>
      </c>
      <c r="E12" s="15" t="s">
        <v>2052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2053</v>
      </c>
      <c r="B13" s="15" t="s">
        <v>1966</v>
      </c>
      <c r="C13" s="14" t="s">
        <v>2047</v>
      </c>
      <c r="D13" s="15" t="n">
        <v>5</v>
      </c>
      <c r="E13" s="15" t="s">
        <v>2054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2055</v>
      </c>
      <c r="B14" s="15" t="s">
        <v>1972</v>
      </c>
      <c r="C14" s="14" t="s">
        <v>2029</v>
      </c>
      <c r="D14" s="15" t="n">
        <v>2</v>
      </c>
      <c r="E14" s="15" t="s">
        <v>2056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2057</v>
      </c>
      <c r="B15" s="15" t="s">
        <v>1972</v>
      </c>
      <c r="C15" s="14" t="s">
        <v>2029</v>
      </c>
      <c r="D15" s="15" t="n">
        <v>3</v>
      </c>
      <c r="E15" s="15" t="s">
        <v>2058</v>
      </c>
      <c r="F15" s="15"/>
      <c r="G15" s="16" t="s">
        <v>44</v>
      </c>
      <c r="H15" s="17"/>
      <c r="I15" s="17"/>
    </row>
    <row r="16" customFormat="false" ht="29.85" hidden="false" customHeight="false" outlineLevel="0" collapsed="false">
      <c r="A16" s="14" t="s">
        <v>2059</v>
      </c>
      <c r="B16" s="15" t="s">
        <v>1972</v>
      </c>
      <c r="C16" s="14" t="s">
        <v>2029</v>
      </c>
      <c r="D16" s="15" t="n">
        <v>4</v>
      </c>
      <c r="E16" s="15" t="s">
        <v>2060</v>
      </c>
      <c r="F16" s="15"/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2061</v>
      </c>
      <c r="B17" s="15" t="s">
        <v>1972</v>
      </c>
      <c r="C17" s="14" t="s">
        <v>2029</v>
      </c>
      <c r="D17" s="15" t="n">
        <v>5</v>
      </c>
      <c r="E17" s="15" t="s">
        <v>2062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2063</v>
      </c>
      <c r="B18" s="15" t="s">
        <v>1972</v>
      </c>
      <c r="C18" s="14" t="s">
        <v>2038</v>
      </c>
      <c r="D18" s="15" t="n">
        <v>2</v>
      </c>
      <c r="E18" s="15" t="s">
        <v>2064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2065</v>
      </c>
      <c r="B19" s="15" t="s">
        <v>1972</v>
      </c>
      <c r="C19" s="14" t="s">
        <v>2038</v>
      </c>
      <c r="D19" s="15" t="n">
        <v>3</v>
      </c>
      <c r="E19" s="15" t="s">
        <v>2066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2067</v>
      </c>
      <c r="B20" s="15" t="s">
        <v>1972</v>
      </c>
      <c r="C20" s="14" t="s">
        <v>2038</v>
      </c>
      <c r="D20" s="15" t="n">
        <v>4</v>
      </c>
      <c r="E20" s="15" t="s">
        <v>2068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2069</v>
      </c>
      <c r="B21" s="15" t="s">
        <v>1972</v>
      </c>
      <c r="C21" s="14" t="s">
        <v>2038</v>
      </c>
      <c r="D21" s="15" t="n">
        <v>5</v>
      </c>
      <c r="E21" s="15" t="s">
        <v>2070</v>
      </c>
      <c r="F21" s="15"/>
      <c r="G21" s="16" t="s">
        <v>44</v>
      </c>
      <c r="H21" s="17"/>
      <c r="I21" s="17"/>
    </row>
    <row r="22" customFormat="false" ht="29.85" hidden="false" customHeight="false" outlineLevel="0" collapsed="false">
      <c r="A22" s="14" t="s">
        <v>2071</v>
      </c>
      <c r="B22" s="15" t="s">
        <v>1972</v>
      </c>
      <c r="C22" s="14" t="s">
        <v>2047</v>
      </c>
      <c r="D22" s="15" t="n">
        <v>2</v>
      </c>
      <c r="E22" s="15" t="s">
        <v>2072</v>
      </c>
      <c r="F22" s="15"/>
      <c r="G22" s="16" t="s">
        <v>44</v>
      </c>
      <c r="H22" s="17"/>
      <c r="I22" s="17"/>
    </row>
    <row r="23" customFormat="false" ht="29.85" hidden="false" customHeight="false" outlineLevel="0" collapsed="false">
      <c r="A23" s="14" t="s">
        <v>2073</v>
      </c>
      <c r="B23" s="15" t="s">
        <v>1972</v>
      </c>
      <c r="C23" s="14" t="s">
        <v>2047</v>
      </c>
      <c r="D23" s="15" t="n">
        <v>3</v>
      </c>
      <c r="E23" s="15" t="s">
        <v>2074</v>
      </c>
      <c r="F23" s="15"/>
      <c r="G23" s="16" t="s">
        <v>44</v>
      </c>
      <c r="H23" s="17"/>
      <c r="I23" s="17"/>
    </row>
    <row r="24" customFormat="false" ht="29.85" hidden="false" customHeight="false" outlineLevel="0" collapsed="false">
      <c r="A24" s="14" t="s">
        <v>2075</v>
      </c>
      <c r="B24" s="15" t="s">
        <v>1972</v>
      </c>
      <c r="C24" s="14" t="s">
        <v>2047</v>
      </c>
      <c r="D24" s="15" t="n">
        <v>4</v>
      </c>
      <c r="E24" s="15" t="s">
        <v>2076</v>
      </c>
      <c r="F24" s="15"/>
      <c r="G24" s="16" t="s">
        <v>44</v>
      </c>
      <c r="H24" s="17"/>
      <c r="I24" s="17"/>
    </row>
    <row r="25" customFormat="false" ht="29.85" hidden="false" customHeight="false" outlineLevel="0" collapsed="false">
      <c r="A25" s="14" t="s">
        <v>2077</v>
      </c>
      <c r="B25" s="15" t="s">
        <v>1972</v>
      </c>
      <c r="C25" s="14" t="s">
        <v>2047</v>
      </c>
      <c r="D25" s="15" t="n">
        <v>5</v>
      </c>
      <c r="E25" s="15" t="s">
        <v>2078</v>
      </c>
      <c r="F25" s="15"/>
      <c r="G25" s="16" t="s">
        <v>44</v>
      </c>
      <c r="H25" s="17"/>
      <c r="I25" s="17"/>
    </row>
    <row r="26" customFormat="false" ht="29.85" hidden="false" customHeight="false" outlineLevel="0" collapsed="false">
      <c r="A26" s="14" t="s">
        <v>2079</v>
      </c>
      <c r="B26" s="15" t="s">
        <v>1977</v>
      </c>
      <c r="C26" s="14" t="s">
        <v>2029</v>
      </c>
      <c r="D26" s="15" t="n">
        <v>2</v>
      </c>
      <c r="E26" s="15" t="s">
        <v>2080</v>
      </c>
      <c r="F26" s="15"/>
      <c r="G26" s="16" t="s">
        <v>44</v>
      </c>
      <c r="H26" s="17"/>
      <c r="I26" s="17"/>
    </row>
    <row r="27" customFormat="false" ht="29.85" hidden="false" customHeight="false" outlineLevel="0" collapsed="false">
      <c r="A27" s="14" t="s">
        <v>2081</v>
      </c>
      <c r="B27" s="15" t="s">
        <v>1977</v>
      </c>
      <c r="C27" s="14" t="s">
        <v>2029</v>
      </c>
      <c r="D27" s="15" t="n">
        <v>3</v>
      </c>
      <c r="E27" s="15" t="s">
        <v>2082</v>
      </c>
      <c r="F27" s="15"/>
      <c r="G27" s="16" t="s">
        <v>44</v>
      </c>
      <c r="H27" s="17"/>
      <c r="I27" s="17"/>
    </row>
    <row r="28" customFormat="false" ht="29.85" hidden="false" customHeight="false" outlineLevel="0" collapsed="false">
      <c r="A28" s="14" t="s">
        <v>2083</v>
      </c>
      <c r="B28" s="15" t="s">
        <v>1977</v>
      </c>
      <c r="C28" s="14" t="s">
        <v>2029</v>
      </c>
      <c r="D28" s="15" t="n">
        <v>4</v>
      </c>
      <c r="E28" s="15" t="s">
        <v>2084</v>
      </c>
      <c r="F28" s="15"/>
      <c r="G28" s="16" t="s">
        <v>44</v>
      </c>
      <c r="H28" s="17"/>
      <c r="I28" s="17"/>
    </row>
    <row r="29" customFormat="false" ht="29.85" hidden="false" customHeight="false" outlineLevel="0" collapsed="false">
      <c r="A29" s="14" t="s">
        <v>2085</v>
      </c>
      <c r="B29" s="15" t="s">
        <v>1977</v>
      </c>
      <c r="C29" s="14" t="s">
        <v>2029</v>
      </c>
      <c r="D29" s="15" t="n">
        <v>5</v>
      </c>
      <c r="E29" s="15" t="s">
        <v>2086</v>
      </c>
      <c r="F29" s="15"/>
      <c r="G29" s="16" t="s">
        <v>44</v>
      </c>
      <c r="H29" s="17"/>
      <c r="I29" s="17"/>
    </row>
    <row r="30" customFormat="false" ht="29.85" hidden="false" customHeight="false" outlineLevel="0" collapsed="false">
      <c r="A30" s="14" t="s">
        <v>2087</v>
      </c>
      <c r="B30" s="15" t="s">
        <v>1977</v>
      </c>
      <c r="C30" s="14" t="s">
        <v>2038</v>
      </c>
      <c r="D30" s="15" t="n">
        <v>2</v>
      </c>
      <c r="E30" s="15" t="s">
        <v>2088</v>
      </c>
      <c r="F30" s="15"/>
      <c r="G30" s="16" t="s">
        <v>44</v>
      </c>
      <c r="H30" s="17"/>
      <c r="I30" s="17"/>
    </row>
    <row r="31" customFormat="false" ht="29.85" hidden="false" customHeight="false" outlineLevel="0" collapsed="false">
      <c r="A31" s="14" t="s">
        <v>2089</v>
      </c>
      <c r="B31" s="15" t="s">
        <v>1977</v>
      </c>
      <c r="C31" s="14" t="s">
        <v>2038</v>
      </c>
      <c r="D31" s="15" t="n">
        <v>3</v>
      </c>
      <c r="E31" s="15" t="s">
        <v>2090</v>
      </c>
      <c r="F31" s="15"/>
      <c r="G31" s="16" t="s">
        <v>44</v>
      </c>
      <c r="H31" s="17"/>
      <c r="I31" s="17"/>
    </row>
    <row r="32" customFormat="false" ht="44" hidden="false" customHeight="false" outlineLevel="0" collapsed="false">
      <c r="A32" s="14" t="s">
        <v>2091</v>
      </c>
      <c r="B32" s="15" t="s">
        <v>1977</v>
      </c>
      <c r="C32" s="14" t="s">
        <v>2038</v>
      </c>
      <c r="D32" s="15" t="n">
        <v>4</v>
      </c>
      <c r="E32" s="15" t="s">
        <v>2092</v>
      </c>
      <c r="F32" s="15"/>
      <c r="G32" s="16" t="s">
        <v>44</v>
      </c>
      <c r="H32" s="17"/>
      <c r="I32" s="17"/>
    </row>
    <row r="33" customFormat="false" ht="44" hidden="false" customHeight="false" outlineLevel="0" collapsed="false">
      <c r="A33" s="14" t="s">
        <v>2093</v>
      </c>
      <c r="B33" s="15" t="s">
        <v>1977</v>
      </c>
      <c r="C33" s="14" t="s">
        <v>2038</v>
      </c>
      <c r="D33" s="15" t="n">
        <v>5</v>
      </c>
      <c r="E33" s="15" t="s">
        <v>2094</v>
      </c>
      <c r="F33" s="15"/>
      <c r="G33" s="16" t="s">
        <v>44</v>
      </c>
      <c r="H33" s="17"/>
      <c r="I33" s="17"/>
    </row>
    <row r="34" customFormat="false" ht="29.85" hidden="false" customHeight="false" outlineLevel="0" collapsed="false">
      <c r="A34" s="14" t="s">
        <v>2095</v>
      </c>
      <c r="B34" s="15" t="s">
        <v>1977</v>
      </c>
      <c r="C34" s="14" t="s">
        <v>2047</v>
      </c>
      <c r="D34" s="15" t="n">
        <v>2</v>
      </c>
      <c r="E34" s="15" t="s">
        <v>2096</v>
      </c>
      <c r="F34" s="15"/>
      <c r="G34" s="16" t="s">
        <v>44</v>
      </c>
      <c r="H34" s="17"/>
      <c r="I34" s="17"/>
    </row>
    <row r="35" customFormat="false" ht="29.85" hidden="false" customHeight="false" outlineLevel="0" collapsed="false">
      <c r="A35" s="14" t="s">
        <v>2097</v>
      </c>
      <c r="B35" s="15" t="s">
        <v>1977</v>
      </c>
      <c r="C35" s="14" t="s">
        <v>2047</v>
      </c>
      <c r="D35" s="15" t="n">
        <v>3</v>
      </c>
      <c r="E35" s="15" t="s">
        <v>2098</v>
      </c>
      <c r="F35" s="15"/>
      <c r="G35" s="16" t="s">
        <v>44</v>
      </c>
      <c r="H35" s="17"/>
      <c r="I35" s="17"/>
    </row>
    <row r="36" customFormat="false" ht="29.85" hidden="false" customHeight="false" outlineLevel="0" collapsed="false">
      <c r="A36" s="14" t="s">
        <v>2099</v>
      </c>
      <c r="B36" s="15" t="s">
        <v>1977</v>
      </c>
      <c r="C36" s="14" t="s">
        <v>2047</v>
      </c>
      <c r="D36" s="15" t="n">
        <v>4</v>
      </c>
      <c r="E36" s="15" t="s">
        <v>2100</v>
      </c>
      <c r="F36" s="15"/>
      <c r="G36" s="16" t="s">
        <v>44</v>
      </c>
      <c r="H36" s="17"/>
      <c r="I36" s="17"/>
    </row>
    <row r="37" customFormat="false" ht="29.85" hidden="false" customHeight="false" outlineLevel="0" collapsed="false">
      <c r="A37" s="14" t="s">
        <v>2101</v>
      </c>
      <c r="B37" s="15" t="s">
        <v>1977</v>
      </c>
      <c r="C37" s="14" t="s">
        <v>2047</v>
      </c>
      <c r="D37" s="15" t="n">
        <v>5</v>
      </c>
      <c r="E37" s="15" t="s">
        <v>2102</v>
      </c>
      <c r="F37" s="15"/>
      <c r="G37" s="16" t="s">
        <v>44</v>
      </c>
      <c r="H37" s="17"/>
      <c r="I37" s="17"/>
    </row>
    <row r="38" customFormat="false" ht="29.85" hidden="false" customHeight="false" outlineLevel="0" collapsed="false">
      <c r="A38" s="14" t="s">
        <v>2103</v>
      </c>
      <c r="B38" s="15" t="s">
        <v>1983</v>
      </c>
      <c r="C38" s="14" t="s">
        <v>2029</v>
      </c>
      <c r="D38" s="15" t="n">
        <v>2</v>
      </c>
      <c r="E38" s="15" t="s">
        <v>2104</v>
      </c>
      <c r="F38" s="15"/>
      <c r="G38" s="16" t="s">
        <v>44</v>
      </c>
      <c r="H38" s="17"/>
      <c r="I38" s="17"/>
    </row>
    <row r="39" customFormat="false" ht="29.85" hidden="false" customHeight="false" outlineLevel="0" collapsed="false">
      <c r="A39" s="14" t="s">
        <v>2105</v>
      </c>
      <c r="B39" s="15" t="s">
        <v>1983</v>
      </c>
      <c r="C39" s="14" t="s">
        <v>2029</v>
      </c>
      <c r="D39" s="15" t="n">
        <v>3</v>
      </c>
      <c r="E39" s="15" t="s">
        <v>2106</v>
      </c>
      <c r="F39" s="15"/>
      <c r="G39" s="16" t="s">
        <v>44</v>
      </c>
      <c r="H39" s="17"/>
      <c r="I39" s="17"/>
    </row>
    <row r="40" customFormat="false" ht="29.85" hidden="false" customHeight="false" outlineLevel="0" collapsed="false">
      <c r="A40" s="14" t="s">
        <v>2107</v>
      </c>
      <c r="B40" s="15" t="s">
        <v>1983</v>
      </c>
      <c r="C40" s="14" t="s">
        <v>2029</v>
      </c>
      <c r="D40" s="15" t="n">
        <v>4</v>
      </c>
      <c r="E40" s="15" t="s">
        <v>2108</v>
      </c>
      <c r="F40" s="15"/>
      <c r="G40" s="16" t="s">
        <v>44</v>
      </c>
      <c r="H40" s="17"/>
      <c r="I40" s="17"/>
    </row>
    <row r="41" customFormat="false" ht="29.85" hidden="false" customHeight="false" outlineLevel="0" collapsed="false">
      <c r="A41" s="14" t="s">
        <v>2109</v>
      </c>
      <c r="B41" s="15" t="s">
        <v>1983</v>
      </c>
      <c r="C41" s="14" t="s">
        <v>2029</v>
      </c>
      <c r="D41" s="15" t="n">
        <v>5</v>
      </c>
      <c r="E41" s="15" t="s">
        <v>2110</v>
      </c>
      <c r="F41" s="15"/>
      <c r="G41" s="16" t="s">
        <v>44</v>
      </c>
      <c r="H41" s="17"/>
      <c r="I41" s="17"/>
    </row>
    <row r="42" customFormat="false" ht="44" hidden="false" customHeight="false" outlineLevel="0" collapsed="false">
      <c r="A42" s="14" t="s">
        <v>2111</v>
      </c>
      <c r="B42" s="15" t="s">
        <v>1983</v>
      </c>
      <c r="C42" s="14" t="s">
        <v>2038</v>
      </c>
      <c r="D42" s="15" t="n">
        <v>2</v>
      </c>
      <c r="E42" s="15" t="s">
        <v>2112</v>
      </c>
      <c r="F42" s="15"/>
      <c r="G42" s="16" t="s">
        <v>44</v>
      </c>
      <c r="H42" s="17"/>
      <c r="I42" s="17"/>
    </row>
    <row r="43" customFormat="false" ht="29.85" hidden="false" customHeight="false" outlineLevel="0" collapsed="false">
      <c r="A43" s="14" t="s">
        <v>2113</v>
      </c>
      <c r="B43" s="15" t="s">
        <v>1983</v>
      </c>
      <c r="C43" s="14" t="s">
        <v>2038</v>
      </c>
      <c r="D43" s="15" t="n">
        <v>3</v>
      </c>
      <c r="E43" s="15" t="s">
        <v>2114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2115</v>
      </c>
      <c r="B44" s="15" t="s">
        <v>1983</v>
      </c>
      <c r="C44" s="14" t="s">
        <v>2038</v>
      </c>
      <c r="D44" s="15" t="n">
        <v>4</v>
      </c>
      <c r="E44" s="15" t="s">
        <v>2116</v>
      </c>
      <c r="F44" s="15"/>
      <c r="G44" s="16" t="s">
        <v>44</v>
      </c>
      <c r="H44" s="17"/>
      <c r="I44" s="17"/>
    </row>
    <row r="45" customFormat="false" ht="29.85" hidden="false" customHeight="false" outlineLevel="0" collapsed="false">
      <c r="A45" s="14" t="s">
        <v>2117</v>
      </c>
      <c r="B45" s="15" t="s">
        <v>1983</v>
      </c>
      <c r="C45" s="14" t="s">
        <v>2038</v>
      </c>
      <c r="D45" s="15" t="n">
        <v>5</v>
      </c>
      <c r="E45" s="15" t="s">
        <v>2118</v>
      </c>
      <c r="F45" s="15"/>
      <c r="G45" s="16" t="s">
        <v>44</v>
      </c>
      <c r="H45" s="17"/>
      <c r="I45" s="17"/>
    </row>
    <row r="46" customFormat="false" ht="29.85" hidden="false" customHeight="false" outlineLevel="0" collapsed="false">
      <c r="A46" s="14" t="s">
        <v>2119</v>
      </c>
      <c r="B46" s="15" t="s">
        <v>1983</v>
      </c>
      <c r="C46" s="14" t="s">
        <v>2047</v>
      </c>
      <c r="D46" s="15" t="n">
        <v>2</v>
      </c>
      <c r="E46" s="15" t="s">
        <v>2120</v>
      </c>
      <c r="F46" s="15"/>
      <c r="G46" s="16" t="s">
        <v>44</v>
      </c>
      <c r="H46" s="17"/>
      <c r="I46" s="17"/>
    </row>
    <row r="47" customFormat="false" ht="29.85" hidden="false" customHeight="false" outlineLevel="0" collapsed="false">
      <c r="A47" s="14" t="s">
        <v>2121</v>
      </c>
      <c r="B47" s="15" t="s">
        <v>1983</v>
      </c>
      <c r="C47" s="14" t="s">
        <v>2047</v>
      </c>
      <c r="D47" s="15" t="n">
        <v>3</v>
      </c>
      <c r="E47" s="15" t="s">
        <v>2122</v>
      </c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2123</v>
      </c>
      <c r="B48" s="15" t="s">
        <v>1983</v>
      </c>
      <c r="C48" s="14" t="s">
        <v>2047</v>
      </c>
      <c r="D48" s="15" t="n">
        <v>4</v>
      </c>
      <c r="E48" s="15" t="s">
        <v>2124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2125</v>
      </c>
      <c r="B49" s="15" t="s">
        <v>1983</v>
      </c>
      <c r="C49" s="14" t="s">
        <v>2047</v>
      </c>
      <c r="D49" s="15" t="n">
        <v>5</v>
      </c>
      <c r="E49" s="15" t="s">
        <v>2126</v>
      </c>
      <c r="F49" s="15"/>
      <c r="G49" s="16" t="s">
        <v>44</v>
      </c>
      <c r="H49" s="17"/>
      <c r="I49" s="17"/>
    </row>
    <row r="50" customFormat="false" ht="29.85" hidden="false" customHeight="false" outlineLevel="0" collapsed="false">
      <c r="A50" s="14" t="s">
        <v>2127</v>
      </c>
      <c r="B50" s="15" t="s">
        <v>1988</v>
      </c>
      <c r="C50" s="14" t="s">
        <v>2029</v>
      </c>
      <c r="D50" s="15" t="n">
        <v>2</v>
      </c>
      <c r="E50" s="15" t="s">
        <v>2128</v>
      </c>
      <c r="F50" s="15"/>
      <c r="G50" s="16" t="s">
        <v>44</v>
      </c>
      <c r="H50" s="17"/>
      <c r="I50" s="17"/>
    </row>
    <row r="51" customFormat="false" ht="29.85" hidden="false" customHeight="false" outlineLevel="0" collapsed="false">
      <c r="A51" s="14" t="s">
        <v>2129</v>
      </c>
      <c r="B51" s="15" t="s">
        <v>1988</v>
      </c>
      <c r="C51" s="14" t="s">
        <v>2029</v>
      </c>
      <c r="D51" s="15" t="n">
        <v>3</v>
      </c>
      <c r="E51" s="15" t="s">
        <v>2130</v>
      </c>
      <c r="F51" s="15"/>
      <c r="G51" s="16" t="s">
        <v>44</v>
      </c>
      <c r="H51" s="17"/>
      <c r="I51" s="17"/>
    </row>
    <row r="52" customFormat="false" ht="29.85" hidden="false" customHeight="false" outlineLevel="0" collapsed="false">
      <c r="A52" s="14" t="s">
        <v>2131</v>
      </c>
      <c r="B52" s="15" t="s">
        <v>1988</v>
      </c>
      <c r="C52" s="14" t="s">
        <v>2029</v>
      </c>
      <c r="D52" s="15" t="n">
        <v>4</v>
      </c>
      <c r="E52" s="15" t="s">
        <v>2132</v>
      </c>
      <c r="F52" s="15"/>
      <c r="G52" s="16" t="s">
        <v>44</v>
      </c>
      <c r="H52" s="17"/>
      <c r="I52" s="17"/>
    </row>
    <row r="53" customFormat="false" ht="29.85" hidden="false" customHeight="false" outlineLevel="0" collapsed="false">
      <c r="A53" s="14" t="s">
        <v>2133</v>
      </c>
      <c r="B53" s="15" t="s">
        <v>1988</v>
      </c>
      <c r="C53" s="14" t="s">
        <v>2029</v>
      </c>
      <c r="D53" s="15" t="n">
        <v>5</v>
      </c>
      <c r="E53" s="15" t="s">
        <v>2134</v>
      </c>
      <c r="F53" s="15"/>
      <c r="G53" s="16" t="s">
        <v>44</v>
      </c>
      <c r="H53" s="17"/>
      <c r="I53" s="17"/>
    </row>
    <row r="54" customFormat="false" ht="29.85" hidden="false" customHeight="false" outlineLevel="0" collapsed="false">
      <c r="A54" s="14" t="s">
        <v>2135</v>
      </c>
      <c r="B54" s="15" t="s">
        <v>1988</v>
      </c>
      <c r="C54" s="14" t="s">
        <v>2038</v>
      </c>
      <c r="D54" s="15" t="n">
        <v>2</v>
      </c>
      <c r="E54" s="15" t="s">
        <v>2136</v>
      </c>
      <c r="F54" s="15"/>
      <c r="G54" s="16" t="s">
        <v>44</v>
      </c>
      <c r="H54" s="17"/>
      <c r="I54" s="17"/>
    </row>
    <row r="55" customFormat="false" ht="29.85" hidden="false" customHeight="false" outlineLevel="0" collapsed="false">
      <c r="A55" s="14" t="s">
        <v>2137</v>
      </c>
      <c r="B55" s="15" t="s">
        <v>1988</v>
      </c>
      <c r="C55" s="14" t="s">
        <v>2038</v>
      </c>
      <c r="D55" s="15" t="n">
        <v>3</v>
      </c>
      <c r="E55" s="15" t="s">
        <v>2138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2139</v>
      </c>
      <c r="B56" s="15" t="s">
        <v>1988</v>
      </c>
      <c r="C56" s="14" t="s">
        <v>2038</v>
      </c>
      <c r="D56" s="15" t="n">
        <v>4</v>
      </c>
      <c r="E56" s="15" t="s">
        <v>2140</v>
      </c>
      <c r="F56" s="15"/>
      <c r="G56" s="16" t="s">
        <v>44</v>
      </c>
      <c r="H56" s="17"/>
      <c r="I56" s="17"/>
    </row>
    <row r="57" customFormat="false" ht="29.85" hidden="false" customHeight="false" outlineLevel="0" collapsed="false">
      <c r="A57" s="14" t="s">
        <v>2141</v>
      </c>
      <c r="B57" s="15" t="s">
        <v>1988</v>
      </c>
      <c r="C57" s="14" t="s">
        <v>2038</v>
      </c>
      <c r="D57" s="15" t="n">
        <v>5</v>
      </c>
      <c r="E57" s="15" t="s">
        <v>2142</v>
      </c>
      <c r="F57" s="15"/>
      <c r="G57" s="16" t="s">
        <v>44</v>
      </c>
      <c r="H57" s="17"/>
      <c r="I57" s="17"/>
    </row>
    <row r="58" customFormat="false" ht="29.85" hidden="false" customHeight="false" outlineLevel="0" collapsed="false">
      <c r="A58" s="14" t="s">
        <v>2143</v>
      </c>
      <c r="B58" s="15" t="s">
        <v>1988</v>
      </c>
      <c r="C58" s="14" t="s">
        <v>2047</v>
      </c>
      <c r="D58" s="15" t="n">
        <v>2</v>
      </c>
      <c r="E58" s="15" t="s">
        <v>2144</v>
      </c>
      <c r="F58" s="15"/>
      <c r="G58" s="16" t="s">
        <v>44</v>
      </c>
      <c r="H58" s="17"/>
      <c r="I58" s="17"/>
    </row>
    <row r="59" customFormat="false" ht="29.85" hidden="false" customHeight="false" outlineLevel="0" collapsed="false">
      <c r="A59" s="14" t="s">
        <v>2145</v>
      </c>
      <c r="B59" s="15" t="s">
        <v>1988</v>
      </c>
      <c r="C59" s="14" t="s">
        <v>2047</v>
      </c>
      <c r="D59" s="15" t="n">
        <v>3</v>
      </c>
      <c r="E59" s="15" t="s">
        <v>2146</v>
      </c>
      <c r="F59" s="15"/>
      <c r="G59" s="16" t="s">
        <v>44</v>
      </c>
      <c r="H59" s="17"/>
      <c r="I59" s="17"/>
    </row>
    <row r="60" customFormat="false" ht="29.85" hidden="false" customHeight="false" outlineLevel="0" collapsed="false">
      <c r="A60" s="14" t="s">
        <v>2147</v>
      </c>
      <c r="B60" s="15" t="s">
        <v>1988</v>
      </c>
      <c r="C60" s="14" t="s">
        <v>2047</v>
      </c>
      <c r="D60" s="15" t="n">
        <v>4</v>
      </c>
      <c r="E60" s="15" t="s">
        <v>2148</v>
      </c>
      <c r="F60" s="15"/>
      <c r="G60" s="16" t="s">
        <v>44</v>
      </c>
      <c r="H60" s="17"/>
      <c r="I60" s="17"/>
    </row>
    <row r="61" customFormat="false" ht="29.85" hidden="false" customHeight="false" outlineLevel="0" collapsed="false">
      <c r="A61" s="14" t="s">
        <v>2149</v>
      </c>
      <c r="B61" s="15" t="s">
        <v>1988</v>
      </c>
      <c r="C61" s="14" t="s">
        <v>2047</v>
      </c>
      <c r="D61" s="15" t="n">
        <v>5</v>
      </c>
      <c r="E61" s="15" t="s">
        <v>2150</v>
      </c>
      <c r="F61" s="15"/>
      <c r="G61" s="16" t="s">
        <v>44</v>
      </c>
      <c r="H61" s="17"/>
      <c r="I61" s="17"/>
    </row>
    <row r="62" customFormat="false" ht="29.85" hidden="false" customHeight="false" outlineLevel="0" collapsed="false">
      <c r="A62" s="14" t="s">
        <v>2151</v>
      </c>
      <c r="B62" s="15" t="s">
        <v>1993</v>
      </c>
      <c r="C62" s="14" t="s">
        <v>2029</v>
      </c>
      <c r="D62" s="15" t="n">
        <v>2</v>
      </c>
      <c r="E62" s="15" t="s">
        <v>2152</v>
      </c>
      <c r="F62" s="15" t="s">
        <v>2153</v>
      </c>
      <c r="G62" s="16" t="s">
        <v>44</v>
      </c>
      <c r="H62" s="17"/>
      <c r="I62" s="17"/>
    </row>
    <row r="63" customFormat="false" ht="29.85" hidden="false" customHeight="false" outlineLevel="0" collapsed="false">
      <c r="A63" s="14" t="s">
        <v>2154</v>
      </c>
      <c r="B63" s="15" t="s">
        <v>1993</v>
      </c>
      <c r="C63" s="14" t="s">
        <v>2029</v>
      </c>
      <c r="D63" s="15" t="n">
        <v>3</v>
      </c>
      <c r="E63" s="15" t="s">
        <v>2155</v>
      </c>
      <c r="F63" s="15"/>
      <c r="G63" s="16" t="s">
        <v>44</v>
      </c>
      <c r="H63" s="17"/>
      <c r="I63" s="17"/>
    </row>
    <row r="64" customFormat="false" ht="29.85" hidden="false" customHeight="false" outlineLevel="0" collapsed="false">
      <c r="A64" s="14" t="s">
        <v>2156</v>
      </c>
      <c r="B64" s="15" t="s">
        <v>1993</v>
      </c>
      <c r="C64" s="14" t="s">
        <v>2029</v>
      </c>
      <c r="D64" s="15" t="n">
        <v>4</v>
      </c>
      <c r="E64" s="15" t="s">
        <v>2157</v>
      </c>
      <c r="F64" s="15"/>
      <c r="G64" s="16" t="s">
        <v>44</v>
      </c>
      <c r="H64" s="17"/>
      <c r="I64" s="17"/>
    </row>
    <row r="65" customFormat="false" ht="29.85" hidden="false" customHeight="false" outlineLevel="0" collapsed="false">
      <c r="A65" s="14" t="s">
        <v>2158</v>
      </c>
      <c r="B65" s="15" t="s">
        <v>1993</v>
      </c>
      <c r="C65" s="14" t="s">
        <v>2029</v>
      </c>
      <c r="D65" s="15" t="n">
        <v>5</v>
      </c>
      <c r="E65" s="15" t="s">
        <v>2159</v>
      </c>
      <c r="F65" s="15"/>
      <c r="G65" s="16" t="s">
        <v>44</v>
      </c>
      <c r="H65" s="17"/>
      <c r="I65" s="17"/>
    </row>
    <row r="66" customFormat="false" ht="29.85" hidden="false" customHeight="false" outlineLevel="0" collapsed="false">
      <c r="A66" s="14" t="s">
        <v>2160</v>
      </c>
      <c r="B66" s="15" t="s">
        <v>1993</v>
      </c>
      <c r="C66" s="14" t="s">
        <v>2038</v>
      </c>
      <c r="D66" s="15" t="n">
        <v>2</v>
      </c>
      <c r="E66" s="15" t="s">
        <v>2161</v>
      </c>
      <c r="F66" s="15" t="s">
        <v>2153</v>
      </c>
      <c r="G66" s="16" t="s">
        <v>44</v>
      </c>
      <c r="H66" s="17"/>
      <c r="I66" s="17"/>
    </row>
    <row r="67" customFormat="false" ht="29.85" hidden="false" customHeight="false" outlineLevel="0" collapsed="false">
      <c r="A67" s="14" t="s">
        <v>2162</v>
      </c>
      <c r="B67" s="15" t="s">
        <v>1993</v>
      </c>
      <c r="C67" s="14" t="s">
        <v>2038</v>
      </c>
      <c r="D67" s="15" t="n">
        <v>3</v>
      </c>
      <c r="E67" s="15" t="s">
        <v>2163</v>
      </c>
      <c r="F67" s="15"/>
      <c r="G67" s="16" t="s">
        <v>44</v>
      </c>
      <c r="H67" s="17"/>
      <c r="I67" s="17"/>
    </row>
    <row r="68" customFormat="false" ht="44" hidden="false" customHeight="false" outlineLevel="0" collapsed="false">
      <c r="A68" s="14" t="s">
        <v>2164</v>
      </c>
      <c r="B68" s="15" t="s">
        <v>1993</v>
      </c>
      <c r="C68" s="14" t="s">
        <v>2038</v>
      </c>
      <c r="D68" s="15" t="n">
        <v>4</v>
      </c>
      <c r="E68" s="15" t="s">
        <v>2165</v>
      </c>
      <c r="F68" s="15"/>
      <c r="G68" s="16" t="s">
        <v>44</v>
      </c>
      <c r="H68" s="17"/>
      <c r="I68" s="17"/>
    </row>
    <row r="69" customFormat="false" ht="44" hidden="false" customHeight="false" outlineLevel="0" collapsed="false">
      <c r="A69" s="14" t="s">
        <v>2166</v>
      </c>
      <c r="B69" s="15" t="s">
        <v>1993</v>
      </c>
      <c r="C69" s="14" t="s">
        <v>2038</v>
      </c>
      <c r="D69" s="15" t="n">
        <v>5</v>
      </c>
      <c r="E69" s="15" t="s">
        <v>2167</v>
      </c>
      <c r="F69" s="15"/>
      <c r="G69" s="16" t="s">
        <v>44</v>
      </c>
      <c r="H69" s="17"/>
      <c r="I69" s="17"/>
    </row>
    <row r="70" customFormat="false" ht="29.85" hidden="false" customHeight="false" outlineLevel="0" collapsed="false">
      <c r="A70" s="14" t="s">
        <v>2168</v>
      </c>
      <c r="B70" s="15" t="s">
        <v>1993</v>
      </c>
      <c r="C70" s="14" t="s">
        <v>2047</v>
      </c>
      <c r="D70" s="15" t="n">
        <v>2</v>
      </c>
      <c r="E70" s="15" t="s">
        <v>2169</v>
      </c>
      <c r="F70" s="15" t="s">
        <v>2153</v>
      </c>
      <c r="G70" s="16" t="s">
        <v>44</v>
      </c>
      <c r="H70" s="17"/>
      <c r="I70" s="17"/>
    </row>
    <row r="71" customFormat="false" ht="29.85" hidden="false" customHeight="false" outlineLevel="0" collapsed="false">
      <c r="A71" s="14" t="s">
        <v>2170</v>
      </c>
      <c r="B71" s="15" t="s">
        <v>1993</v>
      </c>
      <c r="C71" s="14" t="s">
        <v>2047</v>
      </c>
      <c r="D71" s="15" t="n">
        <v>3</v>
      </c>
      <c r="E71" s="15" t="s">
        <v>2171</v>
      </c>
      <c r="F71" s="15"/>
      <c r="G71" s="16" t="s">
        <v>44</v>
      </c>
      <c r="H71" s="17"/>
      <c r="I71" s="17"/>
    </row>
    <row r="72" customFormat="false" ht="29.85" hidden="false" customHeight="false" outlineLevel="0" collapsed="false">
      <c r="A72" s="14" t="s">
        <v>2172</v>
      </c>
      <c r="B72" s="15" t="s">
        <v>1993</v>
      </c>
      <c r="C72" s="14" t="s">
        <v>2047</v>
      </c>
      <c r="D72" s="15" t="n">
        <v>4</v>
      </c>
      <c r="E72" s="15" t="s">
        <v>2173</v>
      </c>
      <c r="F72" s="15"/>
      <c r="G72" s="16" t="s">
        <v>44</v>
      </c>
      <c r="H72" s="17"/>
      <c r="I72" s="17"/>
    </row>
    <row r="73" customFormat="false" ht="29.85" hidden="false" customHeight="false" outlineLevel="0" collapsed="false">
      <c r="A73" s="14" t="s">
        <v>2174</v>
      </c>
      <c r="B73" s="15" t="s">
        <v>1993</v>
      </c>
      <c r="C73" s="14" t="s">
        <v>2047</v>
      </c>
      <c r="D73" s="15" t="n">
        <v>5</v>
      </c>
      <c r="E73" s="15" t="s">
        <v>2175</v>
      </c>
      <c r="F73" s="15"/>
      <c r="G73" s="16" t="s">
        <v>44</v>
      </c>
      <c r="H73" s="17"/>
      <c r="I73" s="17"/>
    </row>
    <row r="74" customFormat="false" ht="29.85" hidden="false" customHeight="false" outlineLevel="0" collapsed="false">
      <c r="A74" s="14" t="s">
        <v>2176</v>
      </c>
      <c r="B74" s="15" t="s">
        <v>2001</v>
      </c>
      <c r="C74" s="14" t="s">
        <v>2029</v>
      </c>
      <c r="D74" s="15" t="n">
        <v>2</v>
      </c>
      <c r="E74" s="15" t="s">
        <v>2177</v>
      </c>
      <c r="F74" s="15" t="s">
        <v>2178</v>
      </c>
      <c r="G74" s="16" t="s">
        <v>44</v>
      </c>
      <c r="H74" s="17"/>
      <c r="I74" s="17"/>
    </row>
    <row r="75" customFormat="false" ht="29.85" hidden="false" customHeight="false" outlineLevel="0" collapsed="false">
      <c r="A75" s="14" t="s">
        <v>2179</v>
      </c>
      <c r="B75" s="15" t="s">
        <v>2001</v>
      </c>
      <c r="C75" s="14" t="s">
        <v>2029</v>
      </c>
      <c r="D75" s="15" t="n">
        <v>3</v>
      </c>
      <c r="E75" s="15" t="s">
        <v>2180</v>
      </c>
      <c r="F75" s="15"/>
      <c r="G75" s="16" t="s">
        <v>44</v>
      </c>
      <c r="H75" s="17"/>
      <c r="I75" s="17"/>
    </row>
    <row r="76" customFormat="false" ht="29.85" hidden="false" customHeight="false" outlineLevel="0" collapsed="false">
      <c r="A76" s="14" t="s">
        <v>2181</v>
      </c>
      <c r="B76" s="15" t="s">
        <v>2001</v>
      </c>
      <c r="C76" s="14" t="s">
        <v>2029</v>
      </c>
      <c r="D76" s="15" t="n">
        <v>4</v>
      </c>
      <c r="E76" s="15" t="s">
        <v>2182</v>
      </c>
      <c r="F76" s="15"/>
      <c r="G76" s="16" t="s">
        <v>44</v>
      </c>
      <c r="H76" s="17"/>
      <c r="I76" s="17"/>
    </row>
    <row r="77" customFormat="false" ht="29.85" hidden="false" customHeight="false" outlineLevel="0" collapsed="false">
      <c r="A77" s="14" t="s">
        <v>2183</v>
      </c>
      <c r="B77" s="15" t="s">
        <v>2001</v>
      </c>
      <c r="C77" s="14" t="s">
        <v>2029</v>
      </c>
      <c r="D77" s="15" t="n">
        <v>5</v>
      </c>
      <c r="E77" s="15" t="s">
        <v>2184</v>
      </c>
      <c r="F77" s="15"/>
      <c r="G77" s="16" t="s">
        <v>44</v>
      </c>
      <c r="H77" s="17"/>
      <c r="I77" s="17"/>
    </row>
    <row r="78" customFormat="false" ht="44" hidden="false" customHeight="false" outlineLevel="0" collapsed="false">
      <c r="A78" s="14" t="s">
        <v>2185</v>
      </c>
      <c r="B78" s="15" t="s">
        <v>2001</v>
      </c>
      <c r="C78" s="14" t="s">
        <v>2038</v>
      </c>
      <c r="D78" s="15" t="n">
        <v>2</v>
      </c>
      <c r="E78" s="15" t="s">
        <v>2186</v>
      </c>
      <c r="F78" s="15" t="s">
        <v>2178</v>
      </c>
      <c r="G78" s="16" t="s">
        <v>44</v>
      </c>
      <c r="H78" s="17"/>
      <c r="I78" s="17"/>
    </row>
    <row r="79" customFormat="false" ht="44" hidden="false" customHeight="false" outlineLevel="0" collapsed="false">
      <c r="A79" s="14" t="s">
        <v>2187</v>
      </c>
      <c r="B79" s="15" t="s">
        <v>2001</v>
      </c>
      <c r="C79" s="14" t="s">
        <v>2038</v>
      </c>
      <c r="D79" s="15" t="n">
        <v>3</v>
      </c>
      <c r="E79" s="15" t="s">
        <v>2188</v>
      </c>
      <c r="F79" s="15"/>
      <c r="G79" s="16" t="s">
        <v>44</v>
      </c>
      <c r="H79" s="17"/>
      <c r="I79" s="17"/>
    </row>
    <row r="80" customFormat="false" ht="44" hidden="false" customHeight="false" outlineLevel="0" collapsed="false">
      <c r="A80" s="14" t="s">
        <v>2189</v>
      </c>
      <c r="B80" s="15" t="s">
        <v>2001</v>
      </c>
      <c r="C80" s="14" t="s">
        <v>2038</v>
      </c>
      <c r="D80" s="15" t="n">
        <v>4</v>
      </c>
      <c r="E80" s="15" t="s">
        <v>2190</v>
      </c>
      <c r="F80" s="15"/>
      <c r="G80" s="16" t="s">
        <v>44</v>
      </c>
      <c r="H80" s="17"/>
      <c r="I80" s="17"/>
    </row>
    <row r="81" customFormat="false" ht="29.85" hidden="false" customHeight="false" outlineLevel="0" collapsed="false">
      <c r="A81" s="14" t="s">
        <v>2191</v>
      </c>
      <c r="B81" s="15" t="s">
        <v>2001</v>
      </c>
      <c r="C81" s="14" t="s">
        <v>2038</v>
      </c>
      <c r="D81" s="15" t="n">
        <v>5</v>
      </c>
      <c r="E81" s="15" t="s">
        <v>2192</v>
      </c>
      <c r="F81" s="15"/>
      <c r="G81" s="16" t="s">
        <v>44</v>
      </c>
      <c r="H81" s="17"/>
      <c r="I81" s="17"/>
    </row>
    <row r="82" customFormat="false" ht="29.85" hidden="false" customHeight="false" outlineLevel="0" collapsed="false">
      <c r="A82" s="14" t="s">
        <v>2193</v>
      </c>
      <c r="B82" s="15" t="s">
        <v>2001</v>
      </c>
      <c r="C82" s="14" t="s">
        <v>2047</v>
      </c>
      <c r="D82" s="15" t="n">
        <v>2</v>
      </c>
      <c r="E82" s="15" t="s">
        <v>2194</v>
      </c>
      <c r="F82" s="15" t="s">
        <v>2178</v>
      </c>
      <c r="G82" s="16" t="s">
        <v>44</v>
      </c>
      <c r="H82" s="17"/>
      <c r="I82" s="17"/>
    </row>
    <row r="83" customFormat="false" ht="29.85" hidden="false" customHeight="false" outlineLevel="0" collapsed="false">
      <c r="A83" s="14" t="s">
        <v>2195</v>
      </c>
      <c r="B83" s="15" t="s">
        <v>2001</v>
      </c>
      <c r="C83" s="14" t="s">
        <v>2047</v>
      </c>
      <c r="D83" s="15" t="n">
        <v>3</v>
      </c>
      <c r="E83" s="15" t="s">
        <v>2196</v>
      </c>
      <c r="F83" s="15"/>
      <c r="G83" s="16" t="s">
        <v>44</v>
      </c>
      <c r="H83" s="17"/>
      <c r="I83" s="17"/>
    </row>
    <row r="84" customFormat="false" ht="44" hidden="false" customHeight="false" outlineLevel="0" collapsed="false">
      <c r="A84" s="14" t="s">
        <v>2197</v>
      </c>
      <c r="B84" s="15" t="s">
        <v>2001</v>
      </c>
      <c r="C84" s="14" t="s">
        <v>2047</v>
      </c>
      <c r="D84" s="15" t="n">
        <v>4</v>
      </c>
      <c r="E84" s="15" t="s">
        <v>2198</v>
      </c>
      <c r="F84" s="15"/>
      <c r="G84" s="16" t="s">
        <v>44</v>
      </c>
      <c r="H84" s="17"/>
      <c r="I84" s="17"/>
    </row>
    <row r="85" customFormat="false" ht="29.85" hidden="false" customHeight="false" outlineLevel="0" collapsed="false">
      <c r="A85" s="14" t="s">
        <v>2199</v>
      </c>
      <c r="B85" s="15" t="s">
        <v>2001</v>
      </c>
      <c r="C85" s="14" t="s">
        <v>2047</v>
      </c>
      <c r="D85" s="15" t="n">
        <v>5</v>
      </c>
      <c r="E85" s="15" t="s">
        <v>2200</v>
      </c>
      <c r="F85" s="15"/>
      <c r="G85" s="16" t="s">
        <v>44</v>
      </c>
      <c r="H85" s="17"/>
      <c r="I85" s="17"/>
    </row>
    <row r="86" customFormat="false" ht="44" hidden="false" customHeight="false" outlineLevel="0" collapsed="false">
      <c r="A86" s="14" t="s">
        <v>2201</v>
      </c>
      <c r="B86" s="15" t="s">
        <v>2008</v>
      </c>
      <c r="C86" s="14" t="s">
        <v>2029</v>
      </c>
      <c r="D86" s="15" t="n">
        <v>2</v>
      </c>
      <c r="E86" s="15" t="s">
        <v>2202</v>
      </c>
      <c r="F86" s="15" t="s">
        <v>2203</v>
      </c>
      <c r="G86" s="16" t="s">
        <v>44</v>
      </c>
      <c r="H86" s="17"/>
      <c r="I86" s="17"/>
    </row>
    <row r="87" customFormat="false" ht="29.85" hidden="false" customHeight="false" outlineLevel="0" collapsed="false">
      <c r="A87" s="14" t="s">
        <v>2204</v>
      </c>
      <c r="B87" s="15" t="s">
        <v>2008</v>
      </c>
      <c r="C87" s="14" t="s">
        <v>2029</v>
      </c>
      <c r="D87" s="15" t="n">
        <v>3</v>
      </c>
      <c r="E87" s="15" t="s">
        <v>2205</v>
      </c>
      <c r="F87" s="15"/>
      <c r="G87" s="16" t="s">
        <v>44</v>
      </c>
      <c r="H87" s="17"/>
      <c r="I87" s="17"/>
    </row>
    <row r="88" customFormat="false" ht="29.85" hidden="false" customHeight="false" outlineLevel="0" collapsed="false">
      <c r="A88" s="14" t="s">
        <v>2206</v>
      </c>
      <c r="B88" s="15" t="s">
        <v>2008</v>
      </c>
      <c r="C88" s="14" t="s">
        <v>2029</v>
      </c>
      <c r="D88" s="15" t="n">
        <v>4</v>
      </c>
      <c r="E88" s="15" t="s">
        <v>2207</v>
      </c>
      <c r="F88" s="15"/>
      <c r="G88" s="16" t="s">
        <v>44</v>
      </c>
      <c r="H88" s="17"/>
      <c r="I88" s="17"/>
    </row>
    <row r="89" customFormat="false" ht="44" hidden="false" customHeight="false" outlineLevel="0" collapsed="false">
      <c r="A89" s="14" t="s">
        <v>2208</v>
      </c>
      <c r="B89" s="15" t="s">
        <v>2008</v>
      </c>
      <c r="C89" s="14" t="s">
        <v>2029</v>
      </c>
      <c r="D89" s="15" t="n">
        <v>5</v>
      </c>
      <c r="E89" s="15" t="s">
        <v>2209</v>
      </c>
      <c r="F89" s="15"/>
      <c r="G89" s="16" t="s">
        <v>44</v>
      </c>
      <c r="H89" s="17"/>
      <c r="I89" s="17"/>
    </row>
    <row r="90" customFormat="false" ht="44" hidden="false" customHeight="false" outlineLevel="0" collapsed="false">
      <c r="A90" s="14" t="s">
        <v>2210</v>
      </c>
      <c r="B90" s="15" t="s">
        <v>2008</v>
      </c>
      <c r="C90" s="14" t="s">
        <v>2038</v>
      </c>
      <c r="D90" s="15" t="n">
        <v>2</v>
      </c>
      <c r="E90" s="15" t="s">
        <v>2211</v>
      </c>
      <c r="F90" s="15" t="s">
        <v>2203</v>
      </c>
      <c r="G90" s="16" t="s">
        <v>44</v>
      </c>
      <c r="H90" s="17"/>
      <c r="I90" s="17"/>
    </row>
    <row r="91" customFormat="false" ht="44" hidden="false" customHeight="false" outlineLevel="0" collapsed="false">
      <c r="A91" s="14" t="s">
        <v>2212</v>
      </c>
      <c r="B91" s="15" t="s">
        <v>2008</v>
      </c>
      <c r="C91" s="14" t="s">
        <v>2038</v>
      </c>
      <c r="D91" s="15" t="n">
        <v>3</v>
      </c>
      <c r="E91" s="15" t="s">
        <v>2213</v>
      </c>
      <c r="F91" s="15"/>
      <c r="G91" s="16" t="s">
        <v>44</v>
      </c>
      <c r="H91" s="17"/>
      <c r="I91" s="17"/>
    </row>
    <row r="92" customFormat="false" ht="44" hidden="false" customHeight="false" outlineLevel="0" collapsed="false">
      <c r="A92" s="14" t="s">
        <v>2214</v>
      </c>
      <c r="B92" s="15" t="s">
        <v>2008</v>
      </c>
      <c r="C92" s="14" t="s">
        <v>2038</v>
      </c>
      <c r="D92" s="15" t="n">
        <v>4</v>
      </c>
      <c r="E92" s="15" t="s">
        <v>2215</v>
      </c>
      <c r="F92" s="15"/>
      <c r="G92" s="16" t="s">
        <v>44</v>
      </c>
      <c r="H92" s="17"/>
      <c r="I92" s="17"/>
    </row>
    <row r="93" customFormat="false" ht="29.85" hidden="false" customHeight="false" outlineLevel="0" collapsed="false">
      <c r="A93" s="14" t="s">
        <v>2216</v>
      </c>
      <c r="B93" s="15" t="s">
        <v>2008</v>
      </c>
      <c r="C93" s="14" t="s">
        <v>2038</v>
      </c>
      <c r="D93" s="15" t="n">
        <v>5</v>
      </c>
      <c r="E93" s="15" t="s">
        <v>2217</v>
      </c>
      <c r="F93" s="15"/>
      <c r="G93" s="16" t="s">
        <v>44</v>
      </c>
      <c r="H93" s="17"/>
      <c r="I93" s="17"/>
    </row>
    <row r="94" customFormat="false" ht="29.85" hidden="false" customHeight="false" outlineLevel="0" collapsed="false">
      <c r="A94" s="14" t="s">
        <v>2218</v>
      </c>
      <c r="B94" s="15" t="s">
        <v>2008</v>
      </c>
      <c r="C94" s="14" t="s">
        <v>2047</v>
      </c>
      <c r="D94" s="15" t="n">
        <v>2</v>
      </c>
      <c r="E94" s="15" t="s">
        <v>2219</v>
      </c>
      <c r="F94" s="15" t="s">
        <v>2203</v>
      </c>
      <c r="G94" s="16" t="s">
        <v>44</v>
      </c>
      <c r="H94" s="17"/>
      <c r="I94" s="17"/>
    </row>
    <row r="95" customFormat="false" ht="29.85" hidden="false" customHeight="false" outlineLevel="0" collapsed="false">
      <c r="A95" s="14" t="s">
        <v>2220</v>
      </c>
      <c r="B95" s="15" t="s">
        <v>2008</v>
      </c>
      <c r="C95" s="14" t="s">
        <v>2047</v>
      </c>
      <c r="D95" s="15" t="n">
        <v>3</v>
      </c>
      <c r="E95" s="15" t="s">
        <v>2221</v>
      </c>
      <c r="F95" s="15"/>
      <c r="G95" s="16" t="s">
        <v>44</v>
      </c>
      <c r="H95" s="17"/>
      <c r="I95" s="17"/>
    </row>
    <row r="96" customFormat="false" ht="44" hidden="false" customHeight="false" outlineLevel="0" collapsed="false">
      <c r="A96" s="14" t="s">
        <v>2222</v>
      </c>
      <c r="B96" s="15" t="s">
        <v>2008</v>
      </c>
      <c r="C96" s="14" t="s">
        <v>2047</v>
      </c>
      <c r="D96" s="15" t="n">
        <v>4</v>
      </c>
      <c r="E96" s="15" t="s">
        <v>2223</v>
      </c>
      <c r="F96" s="15"/>
      <c r="G96" s="16" t="s">
        <v>44</v>
      </c>
      <c r="H96" s="17"/>
      <c r="I96" s="17"/>
    </row>
    <row r="97" customFormat="false" ht="29.85" hidden="false" customHeight="false" outlineLevel="0" collapsed="false">
      <c r="A97" s="14" t="s">
        <v>2224</v>
      </c>
      <c r="B97" s="15" t="s">
        <v>2008</v>
      </c>
      <c r="C97" s="14" t="s">
        <v>2047</v>
      </c>
      <c r="D97" s="15" t="n">
        <v>5</v>
      </c>
      <c r="E97" s="15" t="s">
        <v>2225</v>
      </c>
      <c r="F97" s="15"/>
      <c r="G97" s="16" t="s">
        <v>44</v>
      </c>
      <c r="H97" s="17"/>
      <c r="I97" s="17"/>
    </row>
    <row r="98" customFormat="false" ht="29.85" hidden="false" customHeight="false" outlineLevel="0" collapsed="false">
      <c r="A98" s="14" t="s">
        <v>2226</v>
      </c>
      <c r="B98" s="15" t="s">
        <v>2015</v>
      </c>
      <c r="C98" s="14" t="s">
        <v>2029</v>
      </c>
      <c r="D98" s="15" t="n">
        <v>2</v>
      </c>
      <c r="E98" s="15" t="s">
        <v>2227</v>
      </c>
      <c r="F98" s="15"/>
      <c r="G98" s="16" t="s">
        <v>44</v>
      </c>
      <c r="H98" s="17"/>
      <c r="I98" s="17"/>
    </row>
    <row r="99" customFormat="false" ht="29.85" hidden="false" customHeight="false" outlineLevel="0" collapsed="false">
      <c r="A99" s="14" t="s">
        <v>2228</v>
      </c>
      <c r="B99" s="15" t="s">
        <v>2015</v>
      </c>
      <c r="C99" s="14" t="s">
        <v>2029</v>
      </c>
      <c r="D99" s="15" t="n">
        <v>3</v>
      </c>
      <c r="E99" s="15" t="s">
        <v>2229</v>
      </c>
      <c r="F99" s="15"/>
      <c r="G99" s="16" t="s">
        <v>44</v>
      </c>
      <c r="H99" s="17"/>
      <c r="I99" s="17"/>
    </row>
    <row r="100" customFormat="false" ht="29.85" hidden="false" customHeight="false" outlineLevel="0" collapsed="false">
      <c r="A100" s="14" t="s">
        <v>2230</v>
      </c>
      <c r="B100" s="15" t="s">
        <v>2015</v>
      </c>
      <c r="C100" s="14" t="s">
        <v>2029</v>
      </c>
      <c r="D100" s="15" t="n">
        <v>4</v>
      </c>
      <c r="E100" s="15" t="s">
        <v>2231</v>
      </c>
      <c r="F100" s="15"/>
      <c r="G100" s="16" t="s">
        <v>44</v>
      </c>
      <c r="H100" s="17"/>
      <c r="I100" s="17"/>
    </row>
    <row r="101" customFormat="false" ht="29.85" hidden="false" customHeight="false" outlineLevel="0" collapsed="false">
      <c r="A101" s="14" t="s">
        <v>2232</v>
      </c>
      <c r="B101" s="15" t="s">
        <v>2015</v>
      </c>
      <c r="C101" s="14" t="s">
        <v>2029</v>
      </c>
      <c r="D101" s="15" t="n">
        <v>5</v>
      </c>
      <c r="E101" s="15" t="s">
        <v>2233</v>
      </c>
      <c r="F101" s="15"/>
      <c r="G101" s="16" t="s">
        <v>44</v>
      </c>
      <c r="H101" s="17"/>
      <c r="I101" s="17"/>
    </row>
    <row r="102" customFormat="false" ht="29.85" hidden="false" customHeight="false" outlineLevel="0" collapsed="false">
      <c r="A102" s="14" t="s">
        <v>2234</v>
      </c>
      <c r="B102" s="15" t="s">
        <v>2015</v>
      </c>
      <c r="C102" s="14" t="s">
        <v>2038</v>
      </c>
      <c r="D102" s="15" t="n">
        <v>2</v>
      </c>
      <c r="E102" s="15" t="s">
        <v>2235</v>
      </c>
      <c r="F102" s="15"/>
      <c r="G102" s="16" t="s">
        <v>44</v>
      </c>
      <c r="H102" s="17"/>
      <c r="I102" s="17"/>
    </row>
    <row r="103" customFormat="false" ht="44" hidden="false" customHeight="false" outlineLevel="0" collapsed="false">
      <c r="A103" s="14" t="s">
        <v>2236</v>
      </c>
      <c r="B103" s="15" t="s">
        <v>2015</v>
      </c>
      <c r="C103" s="14" t="s">
        <v>2038</v>
      </c>
      <c r="D103" s="15" t="n">
        <v>3</v>
      </c>
      <c r="E103" s="15" t="s">
        <v>2237</v>
      </c>
      <c r="F103" s="15"/>
      <c r="G103" s="16" t="s">
        <v>44</v>
      </c>
      <c r="H103" s="17"/>
      <c r="I103" s="17"/>
    </row>
    <row r="104" customFormat="false" ht="44" hidden="false" customHeight="false" outlineLevel="0" collapsed="false">
      <c r="A104" s="14" t="s">
        <v>2238</v>
      </c>
      <c r="B104" s="15" t="s">
        <v>2015</v>
      </c>
      <c r="C104" s="14" t="s">
        <v>2038</v>
      </c>
      <c r="D104" s="15" t="n">
        <v>4</v>
      </c>
      <c r="E104" s="15" t="s">
        <v>2239</v>
      </c>
      <c r="F104" s="15"/>
      <c r="G104" s="16" t="s">
        <v>44</v>
      </c>
      <c r="H104" s="17"/>
      <c r="I104" s="17"/>
    </row>
    <row r="105" customFormat="false" ht="44" hidden="false" customHeight="false" outlineLevel="0" collapsed="false">
      <c r="A105" s="14" t="s">
        <v>2240</v>
      </c>
      <c r="B105" s="15" t="s">
        <v>2015</v>
      </c>
      <c r="C105" s="14" t="s">
        <v>2038</v>
      </c>
      <c r="D105" s="15" t="n">
        <v>5</v>
      </c>
      <c r="E105" s="15" t="s">
        <v>2241</v>
      </c>
      <c r="F105" s="15"/>
      <c r="G105" s="16" t="s">
        <v>44</v>
      </c>
      <c r="H105" s="17"/>
      <c r="I105" s="17"/>
    </row>
    <row r="106" customFormat="false" ht="29.85" hidden="false" customHeight="false" outlineLevel="0" collapsed="false">
      <c r="A106" s="14" t="s">
        <v>2242</v>
      </c>
      <c r="B106" s="15" t="s">
        <v>2015</v>
      </c>
      <c r="C106" s="14" t="s">
        <v>2047</v>
      </c>
      <c r="D106" s="15" t="n">
        <v>2</v>
      </c>
      <c r="E106" s="15" t="s">
        <v>2243</v>
      </c>
      <c r="F106" s="15"/>
      <c r="G106" s="16" t="s">
        <v>44</v>
      </c>
      <c r="H106" s="17"/>
      <c r="I106" s="17"/>
    </row>
    <row r="107" customFormat="false" ht="29.85" hidden="false" customHeight="false" outlineLevel="0" collapsed="false">
      <c r="A107" s="14" t="s">
        <v>2244</v>
      </c>
      <c r="B107" s="15" t="s">
        <v>2015</v>
      </c>
      <c r="C107" s="14" t="s">
        <v>2047</v>
      </c>
      <c r="D107" s="15" t="n">
        <v>3</v>
      </c>
      <c r="E107" s="15" t="s">
        <v>2245</v>
      </c>
      <c r="F107" s="15"/>
      <c r="G107" s="16" t="s">
        <v>44</v>
      </c>
      <c r="H107" s="17"/>
      <c r="I107" s="17"/>
    </row>
    <row r="108" customFormat="false" ht="29.85" hidden="false" customHeight="false" outlineLevel="0" collapsed="false">
      <c r="A108" s="14" t="s">
        <v>2246</v>
      </c>
      <c r="B108" s="15" t="s">
        <v>2015</v>
      </c>
      <c r="C108" s="14" t="s">
        <v>2047</v>
      </c>
      <c r="D108" s="15" t="n">
        <v>4</v>
      </c>
      <c r="E108" s="15" t="s">
        <v>2247</v>
      </c>
      <c r="F108" s="15"/>
      <c r="G108" s="16" t="s">
        <v>44</v>
      </c>
      <c r="H108" s="17"/>
      <c r="I108" s="17"/>
    </row>
    <row r="109" customFormat="false" ht="29.85" hidden="false" customHeight="false" outlineLevel="0" collapsed="false">
      <c r="A109" s="14" t="s">
        <v>2248</v>
      </c>
      <c r="B109" s="15" t="s">
        <v>2015</v>
      </c>
      <c r="C109" s="14" t="s">
        <v>2047</v>
      </c>
      <c r="D109" s="15" t="n">
        <v>5</v>
      </c>
      <c r="E109" s="15" t="s">
        <v>2249</v>
      </c>
      <c r="F109" s="15"/>
      <c r="G109" s="16" t="s">
        <v>44</v>
      </c>
      <c r="H109" s="17"/>
      <c r="I109" s="17"/>
    </row>
    <row r="110" customFormat="false" ht="29.85" hidden="false" customHeight="false" outlineLevel="0" collapsed="false">
      <c r="A110" s="14" t="s">
        <v>2250</v>
      </c>
      <c r="B110" s="15" t="s">
        <v>2020</v>
      </c>
      <c r="C110" s="14" t="s">
        <v>2029</v>
      </c>
      <c r="D110" s="15" t="n">
        <v>2</v>
      </c>
      <c r="E110" s="15" t="s">
        <v>2251</v>
      </c>
      <c r="F110" s="15"/>
      <c r="G110" s="16" t="s">
        <v>44</v>
      </c>
      <c r="H110" s="17"/>
      <c r="I110" s="17"/>
    </row>
    <row r="111" customFormat="false" ht="29.85" hidden="false" customHeight="false" outlineLevel="0" collapsed="false">
      <c r="A111" s="14" t="s">
        <v>2252</v>
      </c>
      <c r="B111" s="15" t="s">
        <v>2020</v>
      </c>
      <c r="C111" s="14" t="s">
        <v>2029</v>
      </c>
      <c r="D111" s="15" t="n">
        <v>3</v>
      </c>
      <c r="E111" s="15" t="s">
        <v>2253</v>
      </c>
      <c r="F111" s="15"/>
      <c r="G111" s="16" t="s">
        <v>44</v>
      </c>
      <c r="H111" s="17"/>
      <c r="I111" s="17"/>
    </row>
    <row r="112" customFormat="false" ht="29.85" hidden="false" customHeight="false" outlineLevel="0" collapsed="false">
      <c r="A112" s="14" t="s">
        <v>2254</v>
      </c>
      <c r="B112" s="15" t="s">
        <v>2020</v>
      </c>
      <c r="C112" s="14" t="s">
        <v>2029</v>
      </c>
      <c r="D112" s="15" t="n">
        <v>4</v>
      </c>
      <c r="E112" s="15" t="s">
        <v>2255</v>
      </c>
      <c r="F112" s="15"/>
      <c r="G112" s="16" t="s">
        <v>44</v>
      </c>
      <c r="H112" s="17"/>
      <c r="I112" s="17"/>
    </row>
    <row r="113" customFormat="false" ht="29.85" hidden="false" customHeight="false" outlineLevel="0" collapsed="false">
      <c r="A113" s="14" t="s">
        <v>2256</v>
      </c>
      <c r="B113" s="15" t="s">
        <v>2020</v>
      </c>
      <c r="C113" s="14" t="s">
        <v>2029</v>
      </c>
      <c r="D113" s="15" t="n">
        <v>5</v>
      </c>
      <c r="E113" s="15" t="s">
        <v>2257</v>
      </c>
      <c r="F113" s="15"/>
      <c r="G113" s="16" t="s">
        <v>44</v>
      </c>
      <c r="H113" s="17"/>
      <c r="I113" s="17"/>
    </row>
    <row r="114" customFormat="false" ht="44" hidden="false" customHeight="false" outlineLevel="0" collapsed="false">
      <c r="A114" s="14" t="s">
        <v>2258</v>
      </c>
      <c r="B114" s="15" t="s">
        <v>2020</v>
      </c>
      <c r="C114" s="14" t="s">
        <v>2038</v>
      </c>
      <c r="D114" s="15" t="n">
        <v>2</v>
      </c>
      <c r="E114" s="15" t="s">
        <v>2259</v>
      </c>
      <c r="F114" s="15"/>
      <c r="G114" s="16" t="s">
        <v>44</v>
      </c>
      <c r="H114" s="17"/>
      <c r="I114" s="17"/>
    </row>
    <row r="115" customFormat="false" ht="44" hidden="false" customHeight="false" outlineLevel="0" collapsed="false">
      <c r="A115" s="14" t="s">
        <v>2260</v>
      </c>
      <c r="B115" s="15" t="s">
        <v>2020</v>
      </c>
      <c r="C115" s="14" t="s">
        <v>2038</v>
      </c>
      <c r="D115" s="15" t="n">
        <v>3</v>
      </c>
      <c r="E115" s="15" t="s">
        <v>2261</v>
      </c>
      <c r="F115" s="15"/>
      <c r="G115" s="16" t="s">
        <v>44</v>
      </c>
      <c r="H115" s="17"/>
      <c r="I115" s="17"/>
    </row>
    <row r="116" customFormat="false" ht="44" hidden="false" customHeight="false" outlineLevel="0" collapsed="false">
      <c r="A116" s="14" t="s">
        <v>2262</v>
      </c>
      <c r="B116" s="15" t="s">
        <v>2020</v>
      </c>
      <c r="C116" s="14" t="s">
        <v>2038</v>
      </c>
      <c r="D116" s="15" t="n">
        <v>4</v>
      </c>
      <c r="E116" s="15" t="s">
        <v>2263</v>
      </c>
      <c r="F116" s="15"/>
      <c r="G116" s="16" t="s">
        <v>44</v>
      </c>
      <c r="H116" s="17"/>
      <c r="I116" s="17"/>
    </row>
    <row r="117" customFormat="false" ht="44" hidden="false" customHeight="false" outlineLevel="0" collapsed="false">
      <c r="A117" s="14" t="s">
        <v>2264</v>
      </c>
      <c r="B117" s="15" t="s">
        <v>2020</v>
      </c>
      <c r="C117" s="14" t="s">
        <v>2038</v>
      </c>
      <c r="D117" s="15" t="n">
        <v>5</v>
      </c>
      <c r="E117" s="15" t="s">
        <v>2265</v>
      </c>
      <c r="F117" s="15"/>
      <c r="G117" s="16" t="s">
        <v>44</v>
      </c>
      <c r="H117" s="17"/>
      <c r="I117" s="17"/>
    </row>
    <row r="118" customFormat="false" ht="29.85" hidden="false" customHeight="false" outlineLevel="0" collapsed="false">
      <c r="A118" s="14" t="s">
        <v>2266</v>
      </c>
      <c r="B118" s="15" t="s">
        <v>2020</v>
      </c>
      <c r="C118" s="14" t="s">
        <v>2047</v>
      </c>
      <c r="D118" s="15" t="n">
        <v>2</v>
      </c>
      <c r="E118" s="15" t="s">
        <v>2267</v>
      </c>
      <c r="F118" s="15"/>
      <c r="G118" s="16" t="s">
        <v>44</v>
      </c>
      <c r="H118" s="17"/>
      <c r="I118" s="17"/>
    </row>
    <row r="119" customFormat="false" ht="29.85" hidden="false" customHeight="false" outlineLevel="0" collapsed="false">
      <c r="A119" s="14" t="s">
        <v>2268</v>
      </c>
      <c r="B119" s="15" t="s">
        <v>2020</v>
      </c>
      <c r="C119" s="14" t="s">
        <v>2047</v>
      </c>
      <c r="D119" s="15" t="n">
        <v>3</v>
      </c>
      <c r="E119" s="15" t="s">
        <v>2269</v>
      </c>
      <c r="F119" s="15"/>
      <c r="G119" s="16" t="s">
        <v>44</v>
      </c>
      <c r="H119" s="17"/>
      <c r="I119" s="17"/>
    </row>
    <row r="120" customFormat="false" ht="29.85" hidden="false" customHeight="false" outlineLevel="0" collapsed="false">
      <c r="A120" s="14" t="s">
        <v>2270</v>
      </c>
      <c r="B120" s="15" t="s">
        <v>2020</v>
      </c>
      <c r="C120" s="14" t="s">
        <v>2047</v>
      </c>
      <c r="D120" s="15" t="n">
        <v>4</v>
      </c>
      <c r="E120" s="15" t="s">
        <v>2271</v>
      </c>
      <c r="F120" s="15"/>
      <c r="G120" s="16" t="s">
        <v>44</v>
      </c>
      <c r="H120" s="17"/>
      <c r="I120" s="17"/>
    </row>
    <row r="121" customFormat="false" ht="29.85" hidden="false" customHeight="false" outlineLevel="0" collapsed="false">
      <c r="A121" s="14" t="s">
        <v>2272</v>
      </c>
      <c r="B121" s="15" t="s">
        <v>2020</v>
      </c>
      <c r="C121" s="14" t="s">
        <v>2047</v>
      </c>
      <c r="D121" s="15" t="n">
        <v>5</v>
      </c>
      <c r="E121" s="15" t="s">
        <v>2273</v>
      </c>
      <c r="F121" s="15"/>
      <c r="G121" s="16" t="s">
        <v>44</v>
      </c>
      <c r="H121" s="17"/>
      <c r="I121" s="17"/>
    </row>
  </sheetData>
  <autoFilter ref="A1:I121"/>
  <dataValidations count="1">
    <dataValidation allowBlank="false" errorStyle="stop" operator="between" showDropDown="false" showErrorMessage="false" showInputMessage="false" sqref="G2:G1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40.7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7.6" hidden="false" customHeight="false" outlineLevel="0" collapsed="false">
      <c r="A1" s="12" t="s">
        <v>148</v>
      </c>
      <c r="B1" s="12" t="s">
        <v>2274</v>
      </c>
      <c r="C1" s="13" t="s">
        <v>2275</v>
      </c>
      <c r="D1" s="13" t="s">
        <v>2276</v>
      </c>
      <c r="E1" s="12" t="s">
        <v>2277</v>
      </c>
      <c r="F1" s="13" t="s">
        <v>2278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58.2" hidden="false" customHeight="false" outlineLevel="0" collapsed="false">
      <c r="A2" s="14" t="s">
        <v>2279</v>
      </c>
      <c r="B2" s="15" t="s">
        <v>917</v>
      </c>
      <c r="C2" s="15" t="s">
        <v>2280</v>
      </c>
      <c r="D2" s="15" t="s">
        <v>2281</v>
      </c>
      <c r="E2" s="15" t="s">
        <v>2282</v>
      </c>
      <c r="F2" s="15"/>
      <c r="G2" s="15" t="s">
        <v>2283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2284</v>
      </c>
      <c r="B3" s="15" t="s">
        <v>917</v>
      </c>
      <c r="C3" s="15" t="s">
        <v>2285</v>
      </c>
      <c r="D3" s="15" t="s">
        <v>2286</v>
      </c>
      <c r="E3" s="15" t="s">
        <v>2287</v>
      </c>
      <c r="F3" s="15"/>
      <c r="G3" s="15" t="s">
        <v>2288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2289</v>
      </c>
      <c r="B4" s="15" t="s">
        <v>917</v>
      </c>
      <c r="C4" s="15" t="s">
        <v>2290</v>
      </c>
      <c r="D4" s="15" t="s">
        <v>2291</v>
      </c>
      <c r="E4" s="15" t="s">
        <v>2292</v>
      </c>
      <c r="F4" s="15"/>
      <c r="G4" s="15" t="s">
        <v>2293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2294</v>
      </c>
      <c r="B5" s="15" t="s">
        <v>917</v>
      </c>
      <c r="C5" s="15" t="s">
        <v>2295</v>
      </c>
      <c r="D5" s="14" t="s">
        <v>2296</v>
      </c>
      <c r="E5" s="15" t="s">
        <v>2297</v>
      </c>
      <c r="F5" s="15" t="s">
        <v>2298</v>
      </c>
      <c r="G5" s="15" t="s">
        <v>2299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2300</v>
      </c>
      <c r="B6" s="15" t="s">
        <v>2301</v>
      </c>
      <c r="C6" s="15" t="s">
        <v>2280</v>
      </c>
      <c r="D6" s="15" t="s">
        <v>2302</v>
      </c>
      <c r="E6" s="15" t="s">
        <v>2303</v>
      </c>
      <c r="F6" s="15"/>
      <c r="G6" s="15"/>
      <c r="H6" s="16" t="s">
        <v>44</v>
      </c>
      <c r="I6" s="17"/>
      <c r="J6" s="17"/>
    </row>
    <row r="7" customFormat="false" ht="72.35" hidden="false" customHeight="false" outlineLevel="0" collapsed="false">
      <c r="A7" s="14" t="s">
        <v>2304</v>
      </c>
      <c r="B7" s="15" t="s">
        <v>2301</v>
      </c>
      <c r="C7" s="15" t="s">
        <v>2285</v>
      </c>
      <c r="D7" s="15" t="s">
        <v>2305</v>
      </c>
      <c r="E7" s="15" t="s">
        <v>2306</v>
      </c>
      <c r="F7" s="15"/>
      <c r="G7" s="15" t="s">
        <v>2307</v>
      </c>
      <c r="H7" s="16" t="s">
        <v>44</v>
      </c>
      <c r="I7" s="17"/>
      <c r="J7" s="17"/>
    </row>
    <row r="8" customFormat="false" ht="72.35" hidden="false" customHeight="false" outlineLevel="0" collapsed="false">
      <c r="A8" s="14" t="s">
        <v>2308</v>
      </c>
      <c r="B8" s="15" t="s">
        <v>2301</v>
      </c>
      <c r="C8" s="15" t="s">
        <v>2290</v>
      </c>
      <c r="D8" s="15" t="s">
        <v>2309</v>
      </c>
      <c r="E8" s="15" t="s">
        <v>2310</v>
      </c>
      <c r="F8" s="15"/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2311</v>
      </c>
      <c r="B9" s="15" t="s">
        <v>2301</v>
      </c>
      <c r="C9" s="15" t="s">
        <v>2295</v>
      </c>
      <c r="D9" s="14" t="s">
        <v>2312</v>
      </c>
      <c r="E9" s="15" t="s">
        <v>2313</v>
      </c>
      <c r="F9" s="15" t="s">
        <v>2314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2315</v>
      </c>
      <c r="B10" s="15" t="s">
        <v>2316</v>
      </c>
      <c r="C10" s="15" t="s">
        <v>2280</v>
      </c>
      <c r="D10" s="15" t="s">
        <v>2317</v>
      </c>
      <c r="E10" s="15" t="s">
        <v>2318</v>
      </c>
      <c r="F10" s="15"/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2319</v>
      </c>
      <c r="B11" s="15" t="s">
        <v>2316</v>
      </c>
      <c r="C11" s="15" t="s">
        <v>2285</v>
      </c>
      <c r="D11" s="15" t="s">
        <v>2320</v>
      </c>
      <c r="E11" s="15" t="s">
        <v>2321</v>
      </c>
      <c r="F11" s="15"/>
      <c r="G11" s="15"/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2322</v>
      </c>
      <c r="B12" s="15" t="s">
        <v>2316</v>
      </c>
      <c r="C12" s="15" t="s">
        <v>2290</v>
      </c>
      <c r="D12" s="15" t="s">
        <v>2323</v>
      </c>
      <c r="E12" s="15" t="s">
        <v>2324</v>
      </c>
      <c r="F12" s="15"/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2325</v>
      </c>
      <c r="B13" s="15" t="s">
        <v>2316</v>
      </c>
      <c r="C13" s="15" t="s">
        <v>2295</v>
      </c>
      <c r="D13" s="14" t="s">
        <v>2326</v>
      </c>
      <c r="E13" s="15" t="s">
        <v>2327</v>
      </c>
      <c r="F13" s="15" t="s">
        <v>2328</v>
      </c>
      <c r="G13" s="15"/>
      <c r="H13" s="16" t="s">
        <v>44</v>
      </c>
      <c r="I13" s="17"/>
      <c r="J13" s="17"/>
    </row>
    <row r="14" customFormat="false" ht="72.35" hidden="false" customHeight="false" outlineLevel="0" collapsed="false">
      <c r="A14" s="14" t="s">
        <v>2329</v>
      </c>
      <c r="B14" s="15" t="s">
        <v>2330</v>
      </c>
      <c r="C14" s="15" t="s">
        <v>2280</v>
      </c>
      <c r="D14" s="15" t="s">
        <v>2331</v>
      </c>
      <c r="E14" s="15" t="s">
        <v>2332</v>
      </c>
      <c r="F14" s="15"/>
      <c r="G14" s="15" t="s">
        <v>2333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2334</v>
      </c>
      <c r="B15" s="15" t="s">
        <v>2330</v>
      </c>
      <c r="C15" s="15" t="s">
        <v>2285</v>
      </c>
      <c r="D15" s="15" t="s">
        <v>2335</v>
      </c>
      <c r="E15" s="15" t="s">
        <v>2336</v>
      </c>
      <c r="F15" s="15"/>
      <c r="G15" s="15"/>
      <c r="H15" s="16" t="s">
        <v>44</v>
      </c>
      <c r="I15" s="17"/>
      <c r="J15" s="17"/>
    </row>
    <row r="16" customFormat="false" ht="86.55" hidden="false" customHeight="false" outlineLevel="0" collapsed="false">
      <c r="A16" s="14" t="s">
        <v>2337</v>
      </c>
      <c r="B16" s="15" t="s">
        <v>2330</v>
      </c>
      <c r="C16" s="15" t="s">
        <v>2290</v>
      </c>
      <c r="D16" s="15" t="s">
        <v>2338</v>
      </c>
      <c r="E16" s="15" t="s">
        <v>2339</v>
      </c>
      <c r="F16" s="15"/>
      <c r="G16" s="15" t="s">
        <v>2340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2341</v>
      </c>
      <c r="B17" s="15" t="s">
        <v>2330</v>
      </c>
      <c r="C17" s="15" t="s">
        <v>2295</v>
      </c>
      <c r="D17" s="14" t="s">
        <v>2342</v>
      </c>
      <c r="E17" s="15" t="s">
        <v>2343</v>
      </c>
      <c r="F17" s="15" t="s">
        <v>2344</v>
      </c>
      <c r="G17" s="15"/>
      <c r="H17" s="16" t="s">
        <v>44</v>
      </c>
      <c r="I17" s="17"/>
      <c r="J17" s="17"/>
    </row>
    <row r="18" customFormat="false" ht="72.35" hidden="false" customHeight="false" outlineLevel="0" collapsed="false">
      <c r="A18" s="14" t="s">
        <v>2345</v>
      </c>
      <c r="B18" s="15" t="s">
        <v>2346</v>
      </c>
      <c r="C18" s="15" t="s">
        <v>2280</v>
      </c>
      <c r="D18" s="15" t="s">
        <v>2347</v>
      </c>
      <c r="E18" s="15" t="s">
        <v>2348</v>
      </c>
      <c r="F18" s="15"/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2349</v>
      </c>
      <c r="B19" s="15" t="s">
        <v>2346</v>
      </c>
      <c r="C19" s="15" t="s">
        <v>2285</v>
      </c>
      <c r="D19" s="15" t="s">
        <v>2350</v>
      </c>
      <c r="E19" s="15" t="s">
        <v>2351</v>
      </c>
      <c r="F19" s="15"/>
      <c r="G19" s="15"/>
      <c r="H19" s="16" t="s">
        <v>44</v>
      </c>
      <c r="I19" s="17"/>
      <c r="J19" s="17"/>
    </row>
    <row r="20" customFormat="false" ht="72.35" hidden="false" customHeight="false" outlineLevel="0" collapsed="false">
      <c r="A20" s="14" t="s">
        <v>2352</v>
      </c>
      <c r="B20" s="15" t="s">
        <v>2346</v>
      </c>
      <c r="C20" s="15" t="s">
        <v>2290</v>
      </c>
      <c r="D20" s="15" t="s">
        <v>2353</v>
      </c>
      <c r="E20" s="15" t="s">
        <v>2354</v>
      </c>
      <c r="F20" s="15"/>
      <c r="G20" s="15"/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2355</v>
      </c>
      <c r="B21" s="15" t="s">
        <v>2346</v>
      </c>
      <c r="C21" s="15" t="s">
        <v>2295</v>
      </c>
      <c r="D21" s="14" t="s">
        <v>2356</v>
      </c>
      <c r="E21" s="15" t="s">
        <v>2357</v>
      </c>
      <c r="F21" s="15" t="s">
        <v>2358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2359</v>
      </c>
      <c r="B22" s="15" t="s">
        <v>2360</v>
      </c>
      <c r="C22" s="15" t="s">
        <v>2280</v>
      </c>
      <c r="D22" s="15" t="s">
        <v>2361</v>
      </c>
      <c r="E22" s="15" t="s">
        <v>2362</v>
      </c>
      <c r="F22" s="15"/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2363</v>
      </c>
      <c r="B23" s="15" t="s">
        <v>2360</v>
      </c>
      <c r="C23" s="15" t="s">
        <v>2285</v>
      </c>
      <c r="D23" s="15" t="s">
        <v>2364</v>
      </c>
      <c r="E23" s="15" t="s">
        <v>2365</v>
      </c>
      <c r="F23" s="15"/>
      <c r="G23" s="15"/>
      <c r="H23" s="16" t="s">
        <v>44</v>
      </c>
      <c r="I23" s="17"/>
      <c r="J23" s="17"/>
    </row>
    <row r="24" customFormat="false" ht="72.35" hidden="false" customHeight="false" outlineLevel="0" collapsed="false">
      <c r="A24" s="14" t="s">
        <v>2366</v>
      </c>
      <c r="B24" s="15" t="s">
        <v>2360</v>
      </c>
      <c r="C24" s="15" t="s">
        <v>2290</v>
      </c>
      <c r="D24" s="15" t="s">
        <v>2367</v>
      </c>
      <c r="E24" s="15" t="s">
        <v>2368</v>
      </c>
      <c r="F24" s="15"/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2369</v>
      </c>
      <c r="B25" s="15" t="s">
        <v>2360</v>
      </c>
      <c r="C25" s="15" t="s">
        <v>2295</v>
      </c>
      <c r="D25" s="14" t="s">
        <v>2370</v>
      </c>
      <c r="E25" s="15" t="s">
        <v>2371</v>
      </c>
      <c r="F25" s="15" t="s">
        <v>2372</v>
      </c>
      <c r="G25" s="15"/>
      <c r="H25" s="16" t="s">
        <v>44</v>
      </c>
      <c r="I25" s="17"/>
      <c r="J25" s="17"/>
    </row>
    <row r="26" customFormat="false" ht="72.35" hidden="false" customHeight="false" outlineLevel="0" collapsed="false">
      <c r="A26" s="14" t="s">
        <v>2373</v>
      </c>
      <c r="B26" s="15" t="s">
        <v>2374</v>
      </c>
      <c r="C26" s="15" t="s">
        <v>2280</v>
      </c>
      <c r="D26" s="15" t="s">
        <v>2375</v>
      </c>
      <c r="E26" s="15" t="s">
        <v>2376</v>
      </c>
      <c r="F26" s="15"/>
      <c r="G26" s="15" t="s">
        <v>2377</v>
      </c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2378</v>
      </c>
      <c r="B27" s="15" t="s">
        <v>2374</v>
      </c>
      <c r="C27" s="15" t="s">
        <v>2285</v>
      </c>
      <c r="D27" s="15" t="s">
        <v>2379</v>
      </c>
      <c r="E27" s="15" t="s">
        <v>2380</v>
      </c>
      <c r="F27" s="15"/>
      <c r="G27" s="15"/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2381</v>
      </c>
      <c r="B28" s="15" t="s">
        <v>2374</v>
      </c>
      <c r="C28" s="15" t="s">
        <v>2290</v>
      </c>
      <c r="D28" s="15" t="s">
        <v>2382</v>
      </c>
      <c r="E28" s="15" t="s">
        <v>2383</v>
      </c>
      <c r="F28" s="15"/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2384</v>
      </c>
      <c r="B29" s="15" t="s">
        <v>2374</v>
      </c>
      <c r="C29" s="15" t="s">
        <v>2295</v>
      </c>
      <c r="D29" s="14" t="s">
        <v>2385</v>
      </c>
      <c r="E29" s="15" t="s">
        <v>2386</v>
      </c>
      <c r="F29" s="15" t="s">
        <v>2387</v>
      </c>
      <c r="G29" s="15"/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2388</v>
      </c>
      <c r="B30" s="15" t="s">
        <v>2389</v>
      </c>
      <c r="C30" s="15" t="s">
        <v>2280</v>
      </c>
      <c r="D30" s="15" t="s">
        <v>2390</v>
      </c>
      <c r="E30" s="15" t="s">
        <v>2391</v>
      </c>
      <c r="F30" s="15"/>
      <c r="G30" s="15" t="s">
        <v>2392</v>
      </c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2393</v>
      </c>
      <c r="B31" s="15" t="s">
        <v>2389</v>
      </c>
      <c r="C31" s="15" t="s">
        <v>2285</v>
      </c>
      <c r="D31" s="15" t="s">
        <v>2394</v>
      </c>
      <c r="E31" s="15" t="s">
        <v>2395</v>
      </c>
      <c r="F31" s="15"/>
      <c r="G31" s="15"/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2396</v>
      </c>
      <c r="B32" s="15" t="s">
        <v>2389</v>
      </c>
      <c r="C32" s="15" t="s">
        <v>2290</v>
      </c>
      <c r="D32" s="15" t="s">
        <v>2397</v>
      </c>
      <c r="E32" s="15" t="s">
        <v>2398</v>
      </c>
      <c r="F32" s="15"/>
      <c r="G32" s="15"/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2399</v>
      </c>
      <c r="B33" s="15" t="s">
        <v>2389</v>
      </c>
      <c r="C33" s="15" t="s">
        <v>2295</v>
      </c>
      <c r="D33" s="14" t="s">
        <v>2400</v>
      </c>
      <c r="E33" s="15" t="s">
        <v>2401</v>
      </c>
      <c r="F33" s="15" t="s">
        <v>2402</v>
      </c>
      <c r="G33" s="15" t="s">
        <v>2403</v>
      </c>
      <c r="H33" s="16" t="s">
        <v>44</v>
      </c>
      <c r="I33" s="17"/>
      <c r="J33" s="17"/>
    </row>
    <row r="34" customFormat="false" ht="72.35" hidden="false" customHeight="false" outlineLevel="0" collapsed="false">
      <c r="A34" s="14" t="s">
        <v>2404</v>
      </c>
      <c r="B34" s="15" t="s">
        <v>2405</v>
      </c>
      <c r="C34" s="15" t="s">
        <v>2280</v>
      </c>
      <c r="D34" s="15" t="s">
        <v>2406</v>
      </c>
      <c r="E34" s="15" t="s">
        <v>2407</v>
      </c>
      <c r="F34" s="15"/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2408</v>
      </c>
      <c r="B35" s="15" t="s">
        <v>2405</v>
      </c>
      <c r="C35" s="15" t="s">
        <v>2285</v>
      </c>
      <c r="D35" s="15" t="s">
        <v>2409</v>
      </c>
      <c r="E35" s="15" t="s">
        <v>2410</v>
      </c>
      <c r="F35" s="15"/>
      <c r="G35" s="15"/>
      <c r="H35" s="16" t="s">
        <v>44</v>
      </c>
      <c r="I35" s="17"/>
      <c r="J35" s="17"/>
    </row>
    <row r="36" customFormat="false" ht="72.35" hidden="false" customHeight="false" outlineLevel="0" collapsed="false">
      <c r="A36" s="14" t="s">
        <v>2411</v>
      </c>
      <c r="B36" s="15" t="s">
        <v>2405</v>
      </c>
      <c r="C36" s="15" t="s">
        <v>2290</v>
      </c>
      <c r="D36" s="15" t="s">
        <v>2412</v>
      </c>
      <c r="E36" s="15" t="s">
        <v>2413</v>
      </c>
      <c r="F36" s="15"/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2414</v>
      </c>
      <c r="B37" s="15" t="s">
        <v>2405</v>
      </c>
      <c r="C37" s="15" t="s">
        <v>2295</v>
      </c>
      <c r="D37" s="14" t="s">
        <v>2415</v>
      </c>
      <c r="E37" s="15" t="s">
        <v>2416</v>
      </c>
      <c r="F37" s="15" t="s">
        <v>2417</v>
      </c>
      <c r="G37" s="15"/>
      <c r="H37" s="16" t="s">
        <v>44</v>
      </c>
      <c r="I37" s="17"/>
      <c r="J37" s="17"/>
    </row>
    <row r="38" customFormat="false" ht="72.35" hidden="false" customHeight="false" outlineLevel="0" collapsed="false">
      <c r="A38" s="14" t="s">
        <v>2418</v>
      </c>
      <c r="B38" s="15" t="s">
        <v>2419</v>
      </c>
      <c r="C38" s="15" t="s">
        <v>2280</v>
      </c>
      <c r="D38" s="15" t="s">
        <v>2420</v>
      </c>
      <c r="E38" s="15" t="s">
        <v>2421</v>
      </c>
      <c r="F38" s="15"/>
      <c r="G38" s="15"/>
      <c r="H38" s="16" t="s">
        <v>44</v>
      </c>
      <c r="I38" s="17"/>
      <c r="J38" s="17"/>
    </row>
    <row r="39" customFormat="false" ht="72.35" hidden="false" customHeight="false" outlineLevel="0" collapsed="false">
      <c r="A39" s="14" t="s">
        <v>2422</v>
      </c>
      <c r="B39" s="15" t="s">
        <v>2419</v>
      </c>
      <c r="C39" s="15" t="s">
        <v>2285</v>
      </c>
      <c r="D39" s="15" t="s">
        <v>2423</v>
      </c>
      <c r="E39" s="15" t="s">
        <v>2424</v>
      </c>
      <c r="F39" s="15"/>
      <c r="G39" s="15" t="s">
        <v>2425</v>
      </c>
      <c r="H39" s="16" t="s">
        <v>44</v>
      </c>
      <c r="I39" s="17"/>
      <c r="J39" s="17"/>
    </row>
    <row r="40" customFormat="false" ht="86.55" hidden="false" customHeight="false" outlineLevel="0" collapsed="false">
      <c r="A40" s="14" t="s">
        <v>2426</v>
      </c>
      <c r="B40" s="15" t="s">
        <v>2419</v>
      </c>
      <c r="C40" s="15" t="s">
        <v>2290</v>
      </c>
      <c r="D40" s="15" t="s">
        <v>2427</v>
      </c>
      <c r="E40" s="15" t="s">
        <v>2428</v>
      </c>
      <c r="F40" s="15"/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2429</v>
      </c>
      <c r="B41" s="15" t="s">
        <v>2419</v>
      </c>
      <c r="C41" s="15" t="s">
        <v>2295</v>
      </c>
      <c r="D41" s="14" t="s">
        <v>2430</v>
      </c>
      <c r="E41" s="15" t="s">
        <v>2431</v>
      </c>
      <c r="F41" s="15" t="s">
        <v>2432</v>
      </c>
      <c r="G41" s="15"/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2433</v>
      </c>
      <c r="B42" s="15" t="s">
        <v>2434</v>
      </c>
      <c r="C42" s="15" t="s">
        <v>2280</v>
      </c>
      <c r="D42" s="15" t="s">
        <v>2435</v>
      </c>
      <c r="E42" s="15" t="s">
        <v>2436</v>
      </c>
      <c r="F42" s="15"/>
      <c r="G42" s="15" t="s">
        <v>2437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2438</v>
      </c>
      <c r="B43" s="15" t="s">
        <v>2434</v>
      </c>
      <c r="C43" s="15" t="s">
        <v>2285</v>
      </c>
      <c r="D43" s="15" t="s">
        <v>2439</v>
      </c>
      <c r="E43" s="15" t="s">
        <v>2440</v>
      </c>
      <c r="F43" s="15"/>
      <c r="G43" s="15" t="s">
        <v>2425</v>
      </c>
      <c r="H43" s="16" t="s">
        <v>44</v>
      </c>
      <c r="I43" s="17"/>
      <c r="J43" s="17"/>
    </row>
    <row r="44" customFormat="false" ht="72.35" hidden="false" customHeight="false" outlineLevel="0" collapsed="false">
      <c r="A44" s="14" t="s">
        <v>2441</v>
      </c>
      <c r="B44" s="15" t="s">
        <v>2434</v>
      </c>
      <c r="C44" s="15" t="s">
        <v>2290</v>
      </c>
      <c r="D44" s="15" t="s">
        <v>2442</v>
      </c>
      <c r="E44" s="15" t="s">
        <v>2443</v>
      </c>
      <c r="F44" s="15"/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2444</v>
      </c>
      <c r="B45" s="15" t="s">
        <v>2434</v>
      </c>
      <c r="C45" s="15" t="s">
        <v>2295</v>
      </c>
      <c r="D45" s="14" t="s">
        <v>2445</v>
      </c>
      <c r="E45" s="15" t="s">
        <v>2446</v>
      </c>
      <c r="F45" s="15" t="s">
        <v>2447</v>
      </c>
      <c r="G45" s="15"/>
      <c r="H45" s="16" t="s">
        <v>44</v>
      </c>
      <c r="I45" s="17"/>
      <c r="J45" s="17"/>
    </row>
  </sheetData>
  <autoFilter ref="A1:J45"/>
  <dataValidations count="1">
    <dataValidation allowBlank="false" errorStyle="stop" operator="between" showDropDown="false" showErrorMessage="false" showInputMessage="false" sqref="H2:H4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23.1"/>
    <col collapsed="false" customWidth="true" hidden="false" outlineLevel="0" max="5" min="5" style="0" width="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39.55" hidden="false" customHeight="false" outlineLevel="0" collapsed="false">
      <c r="A1" s="12" t="s">
        <v>148</v>
      </c>
      <c r="B1" s="12" t="s">
        <v>2274</v>
      </c>
      <c r="C1" s="13" t="s">
        <v>2275</v>
      </c>
      <c r="D1" s="13" t="s">
        <v>2448</v>
      </c>
      <c r="E1" s="13" t="s">
        <v>2025</v>
      </c>
      <c r="F1" s="13" t="s">
        <v>2026</v>
      </c>
      <c r="G1" s="13" t="s">
        <v>2027</v>
      </c>
      <c r="H1" s="13" t="s">
        <v>160</v>
      </c>
      <c r="I1" s="13" t="s">
        <v>161</v>
      </c>
      <c r="J1" s="13" t="s">
        <v>162</v>
      </c>
    </row>
    <row r="2" customFormat="false" ht="58.2" hidden="false" customHeight="false" outlineLevel="0" collapsed="false">
      <c r="A2" s="14" t="s">
        <v>2449</v>
      </c>
      <c r="B2" s="15" t="s">
        <v>917</v>
      </c>
      <c r="C2" s="15" t="s">
        <v>2280</v>
      </c>
      <c r="D2" s="14" t="s">
        <v>2450</v>
      </c>
      <c r="E2" s="15" t="n">
        <v>2</v>
      </c>
      <c r="F2" s="15" t="s">
        <v>2451</v>
      </c>
      <c r="G2" s="14" t="s">
        <v>2452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2453</v>
      </c>
      <c r="B3" s="15" t="s">
        <v>917</v>
      </c>
      <c r="C3" s="15" t="s">
        <v>2280</v>
      </c>
      <c r="D3" s="14" t="s">
        <v>2450</v>
      </c>
      <c r="E3" s="15" t="n">
        <v>3</v>
      </c>
      <c r="F3" s="14" t="s">
        <v>2454</v>
      </c>
      <c r="G3" s="14" t="s">
        <v>2452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2455</v>
      </c>
      <c r="B4" s="15" t="s">
        <v>917</v>
      </c>
      <c r="C4" s="15" t="s">
        <v>2280</v>
      </c>
      <c r="D4" s="14" t="s">
        <v>2450</v>
      </c>
      <c r="E4" s="15" t="n">
        <v>4</v>
      </c>
      <c r="F4" s="15" t="s">
        <v>2456</v>
      </c>
      <c r="G4" s="14" t="s">
        <v>2452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2457</v>
      </c>
      <c r="B5" s="15" t="s">
        <v>917</v>
      </c>
      <c r="C5" s="15" t="s">
        <v>2280</v>
      </c>
      <c r="D5" s="14" t="s">
        <v>2450</v>
      </c>
      <c r="E5" s="15" t="n">
        <v>5</v>
      </c>
      <c r="F5" s="15" t="s">
        <v>2458</v>
      </c>
      <c r="G5" s="14" t="s">
        <v>2452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2459</v>
      </c>
      <c r="B6" s="15" t="s">
        <v>917</v>
      </c>
      <c r="C6" s="15" t="s">
        <v>2285</v>
      </c>
      <c r="D6" s="14" t="s">
        <v>2450</v>
      </c>
      <c r="E6" s="15" t="n">
        <v>2</v>
      </c>
      <c r="F6" s="15" t="s">
        <v>2460</v>
      </c>
      <c r="G6" s="15" t="s">
        <v>2461</v>
      </c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2462</v>
      </c>
      <c r="B7" s="15" t="s">
        <v>917</v>
      </c>
      <c r="C7" s="15" t="s">
        <v>2285</v>
      </c>
      <c r="D7" s="14" t="s">
        <v>2450</v>
      </c>
      <c r="E7" s="15" t="n">
        <v>3</v>
      </c>
      <c r="F7" s="15" t="s">
        <v>2463</v>
      </c>
      <c r="G7" s="15" t="s">
        <v>2461</v>
      </c>
      <c r="H7" s="16" t="s">
        <v>44</v>
      </c>
      <c r="I7" s="17"/>
      <c r="J7" s="17"/>
    </row>
    <row r="8" customFormat="false" ht="58.2" hidden="false" customHeight="false" outlineLevel="0" collapsed="false">
      <c r="A8" s="14" t="s">
        <v>2464</v>
      </c>
      <c r="B8" s="15" t="s">
        <v>917</v>
      </c>
      <c r="C8" s="15" t="s">
        <v>2285</v>
      </c>
      <c r="D8" s="14" t="s">
        <v>2450</v>
      </c>
      <c r="E8" s="15" t="n">
        <v>4</v>
      </c>
      <c r="F8" s="15" t="s">
        <v>2465</v>
      </c>
      <c r="G8" s="15" t="s">
        <v>2461</v>
      </c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2466</v>
      </c>
      <c r="B9" s="15" t="s">
        <v>917</v>
      </c>
      <c r="C9" s="15" t="s">
        <v>2285</v>
      </c>
      <c r="D9" s="14" t="s">
        <v>2450</v>
      </c>
      <c r="E9" s="15" t="n">
        <v>5</v>
      </c>
      <c r="F9" s="15" t="s">
        <v>2467</v>
      </c>
      <c r="G9" s="15" t="s">
        <v>2461</v>
      </c>
      <c r="H9" s="16" t="s">
        <v>44</v>
      </c>
      <c r="I9" s="17"/>
      <c r="J9" s="17"/>
    </row>
    <row r="10" customFormat="false" ht="72.35" hidden="false" customHeight="false" outlineLevel="0" collapsed="false">
      <c r="A10" s="14" t="s">
        <v>2468</v>
      </c>
      <c r="B10" s="15" t="s">
        <v>917</v>
      </c>
      <c r="C10" s="15" t="s">
        <v>2290</v>
      </c>
      <c r="D10" s="14" t="s">
        <v>2450</v>
      </c>
      <c r="E10" s="15" t="n">
        <v>2</v>
      </c>
      <c r="F10" s="15" t="s">
        <v>2469</v>
      </c>
      <c r="G10" s="14" t="s">
        <v>2470</v>
      </c>
      <c r="H10" s="16" t="s">
        <v>44</v>
      </c>
      <c r="I10" s="17"/>
      <c r="J10" s="17"/>
    </row>
    <row r="11" customFormat="false" ht="72.35" hidden="false" customHeight="false" outlineLevel="0" collapsed="false">
      <c r="A11" s="14" t="s">
        <v>2471</v>
      </c>
      <c r="B11" s="15" t="s">
        <v>917</v>
      </c>
      <c r="C11" s="15" t="s">
        <v>2290</v>
      </c>
      <c r="D11" s="14" t="s">
        <v>2450</v>
      </c>
      <c r="E11" s="15" t="n">
        <v>3</v>
      </c>
      <c r="F11" s="14" t="s">
        <v>2472</v>
      </c>
      <c r="G11" s="14" t="s">
        <v>2470</v>
      </c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2473</v>
      </c>
      <c r="B12" s="15" t="s">
        <v>917</v>
      </c>
      <c r="C12" s="15" t="s">
        <v>2290</v>
      </c>
      <c r="D12" s="14" t="s">
        <v>2450</v>
      </c>
      <c r="E12" s="15" t="n">
        <v>4</v>
      </c>
      <c r="F12" s="15" t="s">
        <v>2474</v>
      </c>
      <c r="G12" s="14" t="s">
        <v>2470</v>
      </c>
      <c r="H12" s="16" t="s">
        <v>44</v>
      </c>
      <c r="I12" s="17"/>
      <c r="J12" s="17"/>
    </row>
    <row r="13" customFormat="false" ht="72.35" hidden="false" customHeight="false" outlineLevel="0" collapsed="false">
      <c r="A13" s="14" t="s">
        <v>2475</v>
      </c>
      <c r="B13" s="15" t="s">
        <v>917</v>
      </c>
      <c r="C13" s="15" t="s">
        <v>2290</v>
      </c>
      <c r="D13" s="14" t="s">
        <v>2450</v>
      </c>
      <c r="E13" s="15" t="n">
        <v>5</v>
      </c>
      <c r="F13" s="15" t="s">
        <v>2476</v>
      </c>
      <c r="G13" s="14" t="s">
        <v>2470</v>
      </c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2477</v>
      </c>
      <c r="B14" s="15" t="s">
        <v>917</v>
      </c>
      <c r="C14" s="15" t="s">
        <v>2295</v>
      </c>
      <c r="D14" s="14" t="s">
        <v>2450</v>
      </c>
      <c r="E14" s="15" t="n">
        <v>2</v>
      </c>
      <c r="F14" s="15" t="s">
        <v>2478</v>
      </c>
      <c r="G14" s="14" t="s">
        <v>2479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2480</v>
      </c>
      <c r="B15" s="15" t="s">
        <v>917</v>
      </c>
      <c r="C15" s="15" t="s">
        <v>2295</v>
      </c>
      <c r="D15" s="14" t="s">
        <v>2450</v>
      </c>
      <c r="E15" s="15" t="n">
        <v>3</v>
      </c>
      <c r="F15" s="14" t="s">
        <v>2481</v>
      </c>
      <c r="G15" s="14" t="s">
        <v>2479</v>
      </c>
      <c r="H15" s="16" t="s">
        <v>44</v>
      </c>
      <c r="I15" s="17"/>
      <c r="J15" s="17"/>
    </row>
    <row r="16" customFormat="false" ht="58.2" hidden="false" customHeight="false" outlineLevel="0" collapsed="false">
      <c r="A16" s="14" t="s">
        <v>2482</v>
      </c>
      <c r="B16" s="15" t="s">
        <v>917</v>
      </c>
      <c r="C16" s="15" t="s">
        <v>2295</v>
      </c>
      <c r="D16" s="14" t="s">
        <v>2450</v>
      </c>
      <c r="E16" s="15" t="n">
        <v>4</v>
      </c>
      <c r="F16" s="15" t="s">
        <v>2483</v>
      </c>
      <c r="G16" s="14" t="s">
        <v>2479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2484</v>
      </c>
      <c r="B17" s="15" t="s">
        <v>917</v>
      </c>
      <c r="C17" s="15" t="s">
        <v>2295</v>
      </c>
      <c r="D17" s="14" t="s">
        <v>2450</v>
      </c>
      <c r="E17" s="15" t="n">
        <v>5</v>
      </c>
      <c r="F17" s="14" t="s">
        <v>2485</v>
      </c>
      <c r="G17" s="14" t="s">
        <v>2479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2486</v>
      </c>
      <c r="B18" s="15" t="s">
        <v>917</v>
      </c>
      <c r="C18" s="15" t="s">
        <v>2295</v>
      </c>
      <c r="D18" s="14" t="s">
        <v>2487</v>
      </c>
      <c r="E18" s="15" t="n">
        <v>2</v>
      </c>
      <c r="F18" s="15" t="s">
        <v>2488</v>
      </c>
      <c r="G18" s="15" t="s">
        <v>2489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2490</v>
      </c>
      <c r="B19" s="15" t="s">
        <v>917</v>
      </c>
      <c r="C19" s="15" t="s">
        <v>2295</v>
      </c>
      <c r="D19" s="14" t="s">
        <v>2487</v>
      </c>
      <c r="E19" s="15" t="n">
        <v>3</v>
      </c>
      <c r="F19" s="14" t="s">
        <v>2491</v>
      </c>
      <c r="G19" s="15" t="s">
        <v>2489</v>
      </c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2492</v>
      </c>
      <c r="B20" s="15" t="s">
        <v>917</v>
      </c>
      <c r="C20" s="15" t="s">
        <v>2295</v>
      </c>
      <c r="D20" s="14" t="s">
        <v>2487</v>
      </c>
      <c r="E20" s="15" t="n">
        <v>4</v>
      </c>
      <c r="F20" s="15" t="s">
        <v>2493</v>
      </c>
      <c r="G20" s="15" t="s">
        <v>2489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2494</v>
      </c>
      <c r="B21" s="15" t="s">
        <v>917</v>
      </c>
      <c r="C21" s="15" t="s">
        <v>2295</v>
      </c>
      <c r="D21" s="14" t="s">
        <v>2487</v>
      </c>
      <c r="E21" s="15" t="n">
        <v>5</v>
      </c>
      <c r="F21" s="15" t="s">
        <v>2495</v>
      </c>
      <c r="G21" s="15" t="s">
        <v>2489</v>
      </c>
      <c r="H21" s="16" t="s">
        <v>44</v>
      </c>
      <c r="I21" s="17"/>
      <c r="J21" s="17"/>
    </row>
    <row r="22" customFormat="false" ht="72.35" hidden="false" customHeight="false" outlineLevel="0" collapsed="false">
      <c r="A22" s="14" t="s">
        <v>2496</v>
      </c>
      <c r="B22" s="15" t="s">
        <v>2301</v>
      </c>
      <c r="C22" s="15" t="s">
        <v>2280</v>
      </c>
      <c r="D22" s="14" t="s">
        <v>2450</v>
      </c>
      <c r="E22" s="15" t="n">
        <v>2</v>
      </c>
      <c r="F22" s="15" t="s">
        <v>2497</v>
      </c>
      <c r="G22" s="14" t="s">
        <v>2452</v>
      </c>
      <c r="H22" s="16" t="s">
        <v>44</v>
      </c>
      <c r="I22" s="17"/>
      <c r="J22" s="17"/>
    </row>
    <row r="23" customFormat="false" ht="72.35" hidden="false" customHeight="false" outlineLevel="0" collapsed="false">
      <c r="A23" s="14" t="s">
        <v>2498</v>
      </c>
      <c r="B23" s="15" t="s">
        <v>2301</v>
      </c>
      <c r="C23" s="15" t="s">
        <v>2280</v>
      </c>
      <c r="D23" s="14" t="s">
        <v>2450</v>
      </c>
      <c r="E23" s="15" t="n">
        <v>3</v>
      </c>
      <c r="F23" s="14" t="s">
        <v>2499</v>
      </c>
      <c r="G23" s="14" t="s">
        <v>2452</v>
      </c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2500</v>
      </c>
      <c r="B24" s="15" t="s">
        <v>2301</v>
      </c>
      <c r="C24" s="15" t="s">
        <v>2280</v>
      </c>
      <c r="D24" s="14" t="s">
        <v>2450</v>
      </c>
      <c r="E24" s="15" t="n">
        <v>4</v>
      </c>
      <c r="F24" s="15" t="s">
        <v>2501</v>
      </c>
      <c r="G24" s="14" t="s">
        <v>2452</v>
      </c>
      <c r="H24" s="16" t="s">
        <v>44</v>
      </c>
      <c r="I24" s="17"/>
      <c r="J24" s="17"/>
    </row>
    <row r="25" customFormat="false" ht="72.35" hidden="false" customHeight="false" outlineLevel="0" collapsed="false">
      <c r="A25" s="14" t="s">
        <v>2502</v>
      </c>
      <c r="B25" s="15" t="s">
        <v>2301</v>
      </c>
      <c r="C25" s="15" t="s">
        <v>2280</v>
      </c>
      <c r="D25" s="14" t="s">
        <v>2450</v>
      </c>
      <c r="E25" s="15" t="n">
        <v>5</v>
      </c>
      <c r="F25" s="15" t="s">
        <v>2503</v>
      </c>
      <c r="G25" s="14" t="s">
        <v>2452</v>
      </c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2504</v>
      </c>
      <c r="B26" s="15" t="s">
        <v>2301</v>
      </c>
      <c r="C26" s="15" t="s">
        <v>2285</v>
      </c>
      <c r="D26" s="14" t="s">
        <v>2450</v>
      </c>
      <c r="E26" s="15" t="n">
        <v>2</v>
      </c>
      <c r="F26" s="15" t="s">
        <v>2505</v>
      </c>
      <c r="G26" s="15" t="s">
        <v>2461</v>
      </c>
      <c r="H26" s="16" t="s">
        <v>44</v>
      </c>
      <c r="I26" s="17"/>
      <c r="J26" s="17"/>
    </row>
    <row r="27" customFormat="false" ht="72.35" hidden="false" customHeight="false" outlineLevel="0" collapsed="false">
      <c r="A27" s="14" t="s">
        <v>2506</v>
      </c>
      <c r="B27" s="15" t="s">
        <v>2301</v>
      </c>
      <c r="C27" s="15" t="s">
        <v>2285</v>
      </c>
      <c r="D27" s="14" t="s">
        <v>2450</v>
      </c>
      <c r="E27" s="15" t="n">
        <v>3</v>
      </c>
      <c r="F27" s="15" t="s">
        <v>2507</v>
      </c>
      <c r="G27" s="15" t="s">
        <v>2461</v>
      </c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2508</v>
      </c>
      <c r="B28" s="15" t="s">
        <v>2301</v>
      </c>
      <c r="C28" s="15" t="s">
        <v>2285</v>
      </c>
      <c r="D28" s="14" t="s">
        <v>2450</v>
      </c>
      <c r="E28" s="15" t="n">
        <v>4</v>
      </c>
      <c r="F28" s="15" t="s">
        <v>2509</v>
      </c>
      <c r="G28" s="15" t="s">
        <v>2461</v>
      </c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2510</v>
      </c>
      <c r="B29" s="15" t="s">
        <v>2301</v>
      </c>
      <c r="C29" s="15" t="s">
        <v>2285</v>
      </c>
      <c r="D29" s="14" t="s">
        <v>2450</v>
      </c>
      <c r="E29" s="15" t="n">
        <v>5</v>
      </c>
      <c r="F29" s="15" t="s">
        <v>2511</v>
      </c>
      <c r="G29" s="15" t="s">
        <v>2461</v>
      </c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2512</v>
      </c>
      <c r="B30" s="15" t="s">
        <v>2301</v>
      </c>
      <c r="C30" s="15" t="s">
        <v>2290</v>
      </c>
      <c r="D30" s="14" t="s">
        <v>2450</v>
      </c>
      <c r="E30" s="15" t="n">
        <v>2</v>
      </c>
      <c r="F30" s="15" t="s">
        <v>2513</v>
      </c>
      <c r="G30" s="14" t="s">
        <v>2470</v>
      </c>
      <c r="H30" s="16" t="s">
        <v>44</v>
      </c>
      <c r="I30" s="17"/>
      <c r="J30" s="17"/>
    </row>
    <row r="31" customFormat="false" ht="72.35" hidden="false" customHeight="false" outlineLevel="0" collapsed="false">
      <c r="A31" s="14" t="s">
        <v>2514</v>
      </c>
      <c r="B31" s="15" t="s">
        <v>2301</v>
      </c>
      <c r="C31" s="15" t="s">
        <v>2290</v>
      </c>
      <c r="D31" s="14" t="s">
        <v>2450</v>
      </c>
      <c r="E31" s="15" t="n">
        <v>3</v>
      </c>
      <c r="F31" s="14" t="s">
        <v>2515</v>
      </c>
      <c r="G31" s="14" t="s">
        <v>2470</v>
      </c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2516</v>
      </c>
      <c r="B32" s="15" t="s">
        <v>2301</v>
      </c>
      <c r="C32" s="15" t="s">
        <v>2290</v>
      </c>
      <c r="D32" s="14" t="s">
        <v>2450</v>
      </c>
      <c r="E32" s="15" t="n">
        <v>4</v>
      </c>
      <c r="F32" s="15" t="s">
        <v>2517</v>
      </c>
      <c r="G32" s="14" t="s">
        <v>2470</v>
      </c>
      <c r="H32" s="16" t="s">
        <v>44</v>
      </c>
      <c r="I32" s="17"/>
      <c r="J32" s="17"/>
    </row>
    <row r="33" customFormat="false" ht="72.35" hidden="false" customHeight="false" outlineLevel="0" collapsed="false">
      <c r="A33" s="14" t="s">
        <v>2518</v>
      </c>
      <c r="B33" s="15" t="s">
        <v>2301</v>
      </c>
      <c r="C33" s="15" t="s">
        <v>2290</v>
      </c>
      <c r="D33" s="14" t="s">
        <v>2450</v>
      </c>
      <c r="E33" s="15" t="n">
        <v>5</v>
      </c>
      <c r="F33" s="15" t="s">
        <v>2519</v>
      </c>
      <c r="G33" s="14" t="s">
        <v>2470</v>
      </c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2520</v>
      </c>
      <c r="B34" s="15" t="s">
        <v>2301</v>
      </c>
      <c r="C34" s="15" t="s">
        <v>2295</v>
      </c>
      <c r="D34" s="14" t="s">
        <v>2450</v>
      </c>
      <c r="E34" s="15" t="n">
        <v>2</v>
      </c>
      <c r="F34" s="15" t="s">
        <v>2521</v>
      </c>
      <c r="G34" s="14" t="s">
        <v>2479</v>
      </c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2522</v>
      </c>
      <c r="B35" s="15" t="s">
        <v>2301</v>
      </c>
      <c r="C35" s="15" t="s">
        <v>2295</v>
      </c>
      <c r="D35" s="14" t="s">
        <v>2450</v>
      </c>
      <c r="E35" s="15" t="n">
        <v>3</v>
      </c>
      <c r="F35" s="14" t="s">
        <v>2523</v>
      </c>
      <c r="G35" s="14" t="s">
        <v>2479</v>
      </c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2524</v>
      </c>
      <c r="B36" s="15" t="s">
        <v>2301</v>
      </c>
      <c r="C36" s="15" t="s">
        <v>2295</v>
      </c>
      <c r="D36" s="14" t="s">
        <v>2450</v>
      </c>
      <c r="E36" s="15" t="n">
        <v>4</v>
      </c>
      <c r="F36" s="14" t="s">
        <v>2525</v>
      </c>
      <c r="G36" s="14" t="s">
        <v>2479</v>
      </c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2526</v>
      </c>
      <c r="B37" s="15" t="s">
        <v>2301</v>
      </c>
      <c r="C37" s="15" t="s">
        <v>2295</v>
      </c>
      <c r="D37" s="14" t="s">
        <v>2450</v>
      </c>
      <c r="E37" s="15" t="n">
        <v>5</v>
      </c>
      <c r="F37" s="15" t="s">
        <v>2527</v>
      </c>
      <c r="G37" s="14" t="s">
        <v>2479</v>
      </c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2528</v>
      </c>
      <c r="B38" s="15" t="s">
        <v>2301</v>
      </c>
      <c r="C38" s="15" t="s">
        <v>2295</v>
      </c>
      <c r="D38" s="14" t="s">
        <v>2487</v>
      </c>
      <c r="E38" s="15" t="n">
        <v>2</v>
      </c>
      <c r="F38" s="15" t="s">
        <v>2529</v>
      </c>
      <c r="G38" s="15" t="s">
        <v>2489</v>
      </c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2530</v>
      </c>
      <c r="B39" s="15" t="s">
        <v>2301</v>
      </c>
      <c r="C39" s="15" t="s">
        <v>2295</v>
      </c>
      <c r="D39" s="14" t="s">
        <v>2487</v>
      </c>
      <c r="E39" s="15" t="n">
        <v>3</v>
      </c>
      <c r="F39" s="14" t="s">
        <v>2531</v>
      </c>
      <c r="G39" s="15" t="s">
        <v>2489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2532</v>
      </c>
      <c r="B40" s="15" t="s">
        <v>2301</v>
      </c>
      <c r="C40" s="15" t="s">
        <v>2295</v>
      </c>
      <c r="D40" s="14" t="s">
        <v>2487</v>
      </c>
      <c r="E40" s="15" t="n">
        <v>4</v>
      </c>
      <c r="F40" s="15" t="s">
        <v>2533</v>
      </c>
      <c r="G40" s="15" t="s">
        <v>2489</v>
      </c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2534</v>
      </c>
      <c r="B41" s="15" t="s">
        <v>2301</v>
      </c>
      <c r="C41" s="15" t="s">
        <v>2295</v>
      </c>
      <c r="D41" s="14" t="s">
        <v>2487</v>
      </c>
      <c r="E41" s="15" t="n">
        <v>5</v>
      </c>
      <c r="F41" s="15" t="s">
        <v>2535</v>
      </c>
      <c r="G41" s="15" t="s">
        <v>2489</v>
      </c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2536</v>
      </c>
      <c r="B42" s="15" t="s">
        <v>2316</v>
      </c>
      <c r="C42" s="15" t="s">
        <v>2280</v>
      </c>
      <c r="D42" s="14" t="s">
        <v>2450</v>
      </c>
      <c r="E42" s="15" t="n">
        <v>2</v>
      </c>
      <c r="F42" s="15" t="s">
        <v>2537</v>
      </c>
      <c r="G42" s="14" t="s">
        <v>2452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2538</v>
      </c>
      <c r="B43" s="15" t="s">
        <v>2316</v>
      </c>
      <c r="C43" s="15" t="s">
        <v>2280</v>
      </c>
      <c r="D43" s="14" t="s">
        <v>2450</v>
      </c>
      <c r="E43" s="15" t="n">
        <v>3</v>
      </c>
      <c r="F43" s="14" t="s">
        <v>2539</v>
      </c>
      <c r="G43" s="14" t="s">
        <v>2452</v>
      </c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2540</v>
      </c>
      <c r="B44" s="15" t="s">
        <v>2316</v>
      </c>
      <c r="C44" s="15" t="s">
        <v>2280</v>
      </c>
      <c r="D44" s="14" t="s">
        <v>2450</v>
      </c>
      <c r="E44" s="15" t="n">
        <v>4</v>
      </c>
      <c r="F44" s="15" t="s">
        <v>2541</v>
      </c>
      <c r="G44" s="14" t="s">
        <v>2452</v>
      </c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2542</v>
      </c>
      <c r="B45" s="15" t="s">
        <v>2316</v>
      </c>
      <c r="C45" s="15" t="s">
        <v>2280</v>
      </c>
      <c r="D45" s="14" t="s">
        <v>2450</v>
      </c>
      <c r="E45" s="15" t="n">
        <v>5</v>
      </c>
      <c r="F45" s="15" t="s">
        <v>2543</v>
      </c>
      <c r="G45" s="14" t="s">
        <v>2452</v>
      </c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2544</v>
      </c>
      <c r="B46" s="15" t="s">
        <v>2316</v>
      </c>
      <c r="C46" s="15" t="s">
        <v>2285</v>
      </c>
      <c r="D46" s="14" t="s">
        <v>2450</v>
      </c>
      <c r="E46" s="15" t="n">
        <v>2</v>
      </c>
      <c r="F46" s="15" t="s">
        <v>2545</v>
      </c>
      <c r="G46" s="15" t="s">
        <v>2461</v>
      </c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2546</v>
      </c>
      <c r="B47" s="15" t="s">
        <v>2316</v>
      </c>
      <c r="C47" s="15" t="s">
        <v>2285</v>
      </c>
      <c r="D47" s="14" t="s">
        <v>2450</v>
      </c>
      <c r="E47" s="15" t="n">
        <v>3</v>
      </c>
      <c r="F47" s="15" t="s">
        <v>2547</v>
      </c>
      <c r="G47" s="15" t="s">
        <v>2461</v>
      </c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2548</v>
      </c>
      <c r="B48" s="15" t="s">
        <v>2316</v>
      </c>
      <c r="C48" s="15" t="s">
        <v>2285</v>
      </c>
      <c r="D48" s="14" t="s">
        <v>2450</v>
      </c>
      <c r="E48" s="15" t="n">
        <v>4</v>
      </c>
      <c r="F48" s="15" t="s">
        <v>2549</v>
      </c>
      <c r="G48" s="15" t="s">
        <v>2461</v>
      </c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2550</v>
      </c>
      <c r="B49" s="15" t="s">
        <v>2316</v>
      </c>
      <c r="C49" s="15" t="s">
        <v>2285</v>
      </c>
      <c r="D49" s="14" t="s">
        <v>2450</v>
      </c>
      <c r="E49" s="15" t="n">
        <v>5</v>
      </c>
      <c r="F49" s="15" t="s">
        <v>2551</v>
      </c>
      <c r="G49" s="15" t="s">
        <v>2461</v>
      </c>
      <c r="H49" s="16" t="s">
        <v>44</v>
      </c>
      <c r="I49" s="17"/>
      <c r="J49" s="17"/>
    </row>
    <row r="50" customFormat="false" ht="72.35" hidden="false" customHeight="false" outlineLevel="0" collapsed="false">
      <c r="A50" s="14" t="s">
        <v>2552</v>
      </c>
      <c r="B50" s="15" t="s">
        <v>2316</v>
      </c>
      <c r="C50" s="15" t="s">
        <v>2290</v>
      </c>
      <c r="D50" s="14" t="s">
        <v>2450</v>
      </c>
      <c r="E50" s="15" t="n">
        <v>2</v>
      </c>
      <c r="F50" s="15" t="s">
        <v>2553</v>
      </c>
      <c r="G50" s="14" t="s">
        <v>2470</v>
      </c>
      <c r="H50" s="16" t="s">
        <v>44</v>
      </c>
      <c r="I50" s="17"/>
      <c r="J50" s="17"/>
    </row>
    <row r="51" customFormat="false" ht="72.35" hidden="false" customHeight="false" outlineLevel="0" collapsed="false">
      <c r="A51" s="14" t="s">
        <v>2554</v>
      </c>
      <c r="B51" s="15" t="s">
        <v>2316</v>
      </c>
      <c r="C51" s="15" t="s">
        <v>2290</v>
      </c>
      <c r="D51" s="14" t="s">
        <v>2450</v>
      </c>
      <c r="E51" s="15" t="n">
        <v>3</v>
      </c>
      <c r="F51" s="14" t="s">
        <v>2555</v>
      </c>
      <c r="G51" s="14" t="s">
        <v>2470</v>
      </c>
      <c r="H51" s="16" t="s">
        <v>44</v>
      </c>
      <c r="I51" s="17"/>
      <c r="J51" s="17"/>
    </row>
    <row r="52" customFormat="false" ht="72.35" hidden="false" customHeight="false" outlineLevel="0" collapsed="false">
      <c r="A52" s="14" t="s">
        <v>2556</v>
      </c>
      <c r="B52" s="15" t="s">
        <v>2316</v>
      </c>
      <c r="C52" s="15" t="s">
        <v>2290</v>
      </c>
      <c r="D52" s="14" t="s">
        <v>2450</v>
      </c>
      <c r="E52" s="15" t="n">
        <v>4</v>
      </c>
      <c r="F52" s="15" t="s">
        <v>2557</v>
      </c>
      <c r="G52" s="14" t="s">
        <v>2470</v>
      </c>
      <c r="H52" s="16" t="s">
        <v>44</v>
      </c>
      <c r="I52" s="17"/>
      <c r="J52" s="17"/>
    </row>
    <row r="53" customFormat="false" ht="72.35" hidden="false" customHeight="false" outlineLevel="0" collapsed="false">
      <c r="A53" s="14" t="s">
        <v>2558</v>
      </c>
      <c r="B53" s="15" t="s">
        <v>2316</v>
      </c>
      <c r="C53" s="15" t="s">
        <v>2290</v>
      </c>
      <c r="D53" s="14" t="s">
        <v>2450</v>
      </c>
      <c r="E53" s="15" t="n">
        <v>5</v>
      </c>
      <c r="F53" s="15" t="s">
        <v>2559</v>
      </c>
      <c r="G53" s="14" t="s">
        <v>2470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2560</v>
      </c>
      <c r="B54" s="15" t="s">
        <v>2316</v>
      </c>
      <c r="C54" s="15" t="s">
        <v>2295</v>
      </c>
      <c r="D54" s="14" t="s">
        <v>2450</v>
      </c>
      <c r="E54" s="15" t="n">
        <v>2</v>
      </c>
      <c r="F54" s="15" t="s">
        <v>2561</v>
      </c>
      <c r="G54" s="14" t="s">
        <v>2479</v>
      </c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2562</v>
      </c>
      <c r="B55" s="15" t="s">
        <v>2316</v>
      </c>
      <c r="C55" s="15" t="s">
        <v>2295</v>
      </c>
      <c r="D55" s="14" t="s">
        <v>2450</v>
      </c>
      <c r="E55" s="15" t="n">
        <v>3</v>
      </c>
      <c r="F55" s="14" t="s">
        <v>2563</v>
      </c>
      <c r="G55" s="14" t="s">
        <v>2479</v>
      </c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2564</v>
      </c>
      <c r="B56" s="15" t="s">
        <v>2316</v>
      </c>
      <c r="C56" s="15" t="s">
        <v>2295</v>
      </c>
      <c r="D56" s="14" t="s">
        <v>2450</v>
      </c>
      <c r="E56" s="15" t="n">
        <v>4</v>
      </c>
      <c r="F56" s="14" t="s">
        <v>2565</v>
      </c>
      <c r="G56" s="14" t="s">
        <v>2479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2566</v>
      </c>
      <c r="B57" s="15" t="s">
        <v>2316</v>
      </c>
      <c r="C57" s="15" t="s">
        <v>2295</v>
      </c>
      <c r="D57" s="14" t="s">
        <v>2450</v>
      </c>
      <c r="E57" s="15" t="n">
        <v>5</v>
      </c>
      <c r="F57" s="15" t="s">
        <v>2567</v>
      </c>
      <c r="G57" s="14" t="s">
        <v>2479</v>
      </c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2568</v>
      </c>
      <c r="B58" s="15" t="s">
        <v>2316</v>
      </c>
      <c r="C58" s="15" t="s">
        <v>2295</v>
      </c>
      <c r="D58" s="14" t="s">
        <v>2487</v>
      </c>
      <c r="E58" s="15" t="n">
        <v>2</v>
      </c>
      <c r="F58" s="15" t="s">
        <v>2569</v>
      </c>
      <c r="G58" s="15" t="s">
        <v>2489</v>
      </c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2570</v>
      </c>
      <c r="B59" s="15" t="s">
        <v>2316</v>
      </c>
      <c r="C59" s="15" t="s">
        <v>2295</v>
      </c>
      <c r="D59" s="14" t="s">
        <v>2487</v>
      </c>
      <c r="E59" s="15" t="n">
        <v>3</v>
      </c>
      <c r="F59" s="14" t="s">
        <v>2571</v>
      </c>
      <c r="G59" s="15" t="s">
        <v>2489</v>
      </c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2572</v>
      </c>
      <c r="B60" s="15" t="s">
        <v>2316</v>
      </c>
      <c r="C60" s="15" t="s">
        <v>2295</v>
      </c>
      <c r="D60" s="14" t="s">
        <v>2487</v>
      </c>
      <c r="E60" s="15" t="n">
        <v>4</v>
      </c>
      <c r="F60" s="15" t="s">
        <v>2573</v>
      </c>
      <c r="G60" s="15" t="s">
        <v>2489</v>
      </c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2574</v>
      </c>
      <c r="B61" s="15" t="s">
        <v>2316</v>
      </c>
      <c r="C61" s="15" t="s">
        <v>2295</v>
      </c>
      <c r="D61" s="14" t="s">
        <v>2487</v>
      </c>
      <c r="E61" s="15" t="n">
        <v>5</v>
      </c>
      <c r="F61" s="15" t="s">
        <v>2575</v>
      </c>
      <c r="G61" s="15" t="s">
        <v>2489</v>
      </c>
      <c r="H61" s="16" t="s">
        <v>44</v>
      </c>
      <c r="I61" s="17"/>
      <c r="J61" s="17"/>
    </row>
    <row r="62" customFormat="false" ht="72.35" hidden="false" customHeight="false" outlineLevel="0" collapsed="false">
      <c r="A62" s="14" t="s">
        <v>2576</v>
      </c>
      <c r="B62" s="15" t="s">
        <v>2330</v>
      </c>
      <c r="C62" s="15" t="s">
        <v>2280</v>
      </c>
      <c r="D62" s="14" t="s">
        <v>2450</v>
      </c>
      <c r="E62" s="15" t="n">
        <v>2</v>
      </c>
      <c r="F62" s="15" t="s">
        <v>2577</v>
      </c>
      <c r="G62" s="14" t="s">
        <v>2578</v>
      </c>
      <c r="H62" s="16" t="s">
        <v>44</v>
      </c>
      <c r="I62" s="17"/>
      <c r="J62" s="17"/>
    </row>
    <row r="63" customFormat="false" ht="72.35" hidden="false" customHeight="false" outlineLevel="0" collapsed="false">
      <c r="A63" s="14" t="s">
        <v>2579</v>
      </c>
      <c r="B63" s="15" t="s">
        <v>2330</v>
      </c>
      <c r="C63" s="15" t="s">
        <v>2280</v>
      </c>
      <c r="D63" s="14" t="s">
        <v>2450</v>
      </c>
      <c r="E63" s="15" t="n">
        <v>3</v>
      </c>
      <c r="F63" s="15" t="s">
        <v>2580</v>
      </c>
      <c r="G63" s="14" t="s">
        <v>2452</v>
      </c>
      <c r="H63" s="16" t="s">
        <v>44</v>
      </c>
      <c r="I63" s="17"/>
      <c r="J63" s="17"/>
    </row>
    <row r="64" customFormat="false" ht="72.35" hidden="false" customHeight="false" outlineLevel="0" collapsed="false">
      <c r="A64" s="14" t="s">
        <v>2581</v>
      </c>
      <c r="B64" s="15" t="s">
        <v>2330</v>
      </c>
      <c r="C64" s="15" t="s">
        <v>2280</v>
      </c>
      <c r="D64" s="14" t="s">
        <v>2450</v>
      </c>
      <c r="E64" s="15" t="n">
        <v>4</v>
      </c>
      <c r="F64" s="14" t="s">
        <v>2582</v>
      </c>
      <c r="G64" s="14" t="s">
        <v>2452</v>
      </c>
      <c r="H64" s="16" t="s">
        <v>44</v>
      </c>
      <c r="I64" s="17"/>
      <c r="J64" s="17"/>
    </row>
    <row r="65" customFormat="false" ht="58.2" hidden="false" customHeight="false" outlineLevel="0" collapsed="false">
      <c r="A65" s="14" t="s">
        <v>2583</v>
      </c>
      <c r="B65" s="15" t="s">
        <v>2330</v>
      </c>
      <c r="C65" s="15" t="s">
        <v>2280</v>
      </c>
      <c r="D65" s="14" t="s">
        <v>2450</v>
      </c>
      <c r="E65" s="15" t="n">
        <v>5</v>
      </c>
      <c r="F65" s="15" t="s">
        <v>2584</v>
      </c>
      <c r="G65" s="14" t="s">
        <v>2452</v>
      </c>
      <c r="H65" s="16" t="s">
        <v>44</v>
      </c>
      <c r="I65" s="17"/>
      <c r="J65" s="17"/>
    </row>
    <row r="66" customFormat="false" ht="44" hidden="false" customHeight="false" outlineLevel="0" collapsed="false">
      <c r="A66" s="14" t="s">
        <v>2585</v>
      </c>
      <c r="B66" s="15" t="s">
        <v>2330</v>
      </c>
      <c r="C66" s="15" t="s">
        <v>2285</v>
      </c>
      <c r="D66" s="14" t="s">
        <v>2450</v>
      </c>
      <c r="E66" s="15" t="n">
        <v>2</v>
      </c>
      <c r="F66" s="15" t="s">
        <v>2586</v>
      </c>
      <c r="G66" s="15" t="s">
        <v>2587</v>
      </c>
      <c r="H66" s="16" t="s">
        <v>44</v>
      </c>
      <c r="I66" s="17"/>
      <c r="J66" s="17"/>
    </row>
    <row r="67" customFormat="false" ht="58.2" hidden="false" customHeight="false" outlineLevel="0" collapsed="false">
      <c r="A67" s="14" t="s">
        <v>2588</v>
      </c>
      <c r="B67" s="15" t="s">
        <v>2330</v>
      </c>
      <c r="C67" s="15" t="s">
        <v>2285</v>
      </c>
      <c r="D67" s="14" t="s">
        <v>2450</v>
      </c>
      <c r="E67" s="15" t="n">
        <v>3</v>
      </c>
      <c r="F67" s="15" t="s">
        <v>2589</v>
      </c>
      <c r="G67" s="15" t="s">
        <v>2461</v>
      </c>
      <c r="H67" s="16" t="s">
        <v>44</v>
      </c>
      <c r="I67" s="17"/>
      <c r="J67" s="17"/>
    </row>
    <row r="68" customFormat="false" ht="58.2" hidden="false" customHeight="false" outlineLevel="0" collapsed="false">
      <c r="A68" s="14" t="s">
        <v>2590</v>
      </c>
      <c r="B68" s="15" t="s">
        <v>2330</v>
      </c>
      <c r="C68" s="15" t="s">
        <v>2285</v>
      </c>
      <c r="D68" s="14" t="s">
        <v>2450</v>
      </c>
      <c r="E68" s="15" t="n">
        <v>4</v>
      </c>
      <c r="F68" s="15" t="s">
        <v>2591</v>
      </c>
      <c r="G68" s="15" t="s">
        <v>2461</v>
      </c>
      <c r="H68" s="16" t="s">
        <v>44</v>
      </c>
      <c r="I68" s="17"/>
      <c r="J68" s="17"/>
    </row>
    <row r="69" customFormat="false" ht="58.2" hidden="false" customHeight="false" outlineLevel="0" collapsed="false">
      <c r="A69" s="14" t="s">
        <v>2592</v>
      </c>
      <c r="B69" s="15" t="s">
        <v>2330</v>
      </c>
      <c r="C69" s="15" t="s">
        <v>2285</v>
      </c>
      <c r="D69" s="14" t="s">
        <v>2450</v>
      </c>
      <c r="E69" s="15" t="n">
        <v>5</v>
      </c>
      <c r="F69" s="15" t="s">
        <v>2593</v>
      </c>
      <c r="G69" s="15" t="s">
        <v>2461</v>
      </c>
      <c r="H69" s="16" t="s">
        <v>44</v>
      </c>
      <c r="I69" s="17"/>
      <c r="J69" s="17"/>
    </row>
    <row r="70" customFormat="false" ht="86.55" hidden="false" customHeight="false" outlineLevel="0" collapsed="false">
      <c r="A70" s="14" t="s">
        <v>2594</v>
      </c>
      <c r="B70" s="15" t="s">
        <v>2330</v>
      </c>
      <c r="C70" s="15" t="s">
        <v>2290</v>
      </c>
      <c r="D70" s="14" t="s">
        <v>2450</v>
      </c>
      <c r="E70" s="15" t="n">
        <v>2</v>
      </c>
      <c r="F70" s="15" t="s">
        <v>2595</v>
      </c>
      <c r="G70" s="14" t="s">
        <v>2596</v>
      </c>
      <c r="H70" s="16" t="s">
        <v>44</v>
      </c>
      <c r="I70" s="17"/>
      <c r="J70" s="17"/>
    </row>
    <row r="71" customFormat="false" ht="86.55" hidden="false" customHeight="false" outlineLevel="0" collapsed="false">
      <c r="A71" s="14" t="s">
        <v>2597</v>
      </c>
      <c r="B71" s="15" t="s">
        <v>2330</v>
      </c>
      <c r="C71" s="15" t="s">
        <v>2290</v>
      </c>
      <c r="D71" s="14" t="s">
        <v>2450</v>
      </c>
      <c r="E71" s="15" t="n">
        <v>3</v>
      </c>
      <c r="F71" s="14" t="s">
        <v>2598</v>
      </c>
      <c r="G71" s="14" t="s">
        <v>2470</v>
      </c>
      <c r="H71" s="16" t="s">
        <v>44</v>
      </c>
      <c r="I71" s="17"/>
      <c r="J71" s="17"/>
    </row>
    <row r="72" customFormat="false" ht="72.35" hidden="false" customHeight="false" outlineLevel="0" collapsed="false">
      <c r="A72" s="14" t="s">
        <v>2599</v>
      </c>
      <c r="B72" s="15" t="s">
        <v>2330</v>
      </c>
      <c r="C72" s="15" t="s">
        <v>2290</v>
      </c>
      <c r="D72" s="14" t="s">
        <v>2450</v>
      </c>
      <c r="E72" s="15" t="n">
        <v>4</v>
      </c>
      <c r="F72" s="15" t="s">
        <v>2600</v>
      </c>
      <c r="G72" s="14" t="s">
        <v>2470</v>
      </c>
      <c r="H72" s="16" t="s">
        <v>44</v>
      </c>
      <c r="I72" s="17"/>
      <c r="J72" s="17"/>
    </row>
    <row r="73" customFormat="false" ht="58.2" hidden="false" customHeight="false" outlineLevel="0" collapsed="false">
      <c r="A73" s="14" t="s">
        <v>2601</v>
      </c>
      <c r="B73" s="15" t="s">
        <v>2330</v>
      </c>
      <c r="C73" s="15" t="s">
        <v>2290</v>
      </c>
      <c r="D73" s="14" t="s">
        <v>2450</v>
      </c>
      <c r="E73" s="15" t="n">
        <v>5</v>
      </c>
      <c r="F73" s="15" t="s">
        <v>2602</v>
      </c>
      <c r="G73" s="14" t="s">
        <v>2470</v>
      </c>
      <c r="H73" s="16" t="s">
        <v>44</v>
      </c>
      <c r="I73" s="17"/>
      <c r="J73" s="17"/>
    </row>
    <row r="74" customFormat="false" ht="58.2" hidden="false" customHeight="false" outlineLevel="0" collapsed="false">
      <c r="A74" s="14" t="s">
        <v>2603</v>
      </c>
      <c r="B74" s="15" t="s">
        <v>2330</v>
      </c>
      <c r="C74" s="15" t="s">
        <v>2295</v>
      </c>
      <c r="D74" s="14" t="s">
        <v>2450</v>
      </c>
      <c r="E74" s="15" t="n">
        <v>2</v>
      </c>
      <c r="F74" s="15" t="s">
        <v>2604</v>
      </c>
      <c r="G74" s="14" t="s">
        <v>2605</v>
      </c>
      <c r="H74" s="16" t="s">
        <v>44</v>
      </c>
      <c r="I74" s="17"/>
      <c r="J74" s="17"/>
    </row>
    <row r="75" customFormat="false" ht="58.2" hidden="false" customHeight="false" outlineLevel="0" collapsed="false">
      <c r="A75" s="14" t="s">
        <v>2606</v>
      </c>
      <c r="B75" s="15" t="s">
        <v>2330</v>
      </c>
      <c r="C75" s="15" t="s">
        <v>2295</v>
      </c>
      <c r="D75" s="14" t="s">
        <v>2450</v>
      </c>
      <c r="E75" s="15" t="n">
        <v>3</v>
      </c>
      <c r="F75" s="14" t="s">
        <v>2607</v>
      </c>
      <c r="G75" s="14" t="s">
        <v>2479</v>
      </c>
      <c r="H75" s="16" t="s">
        <v>44</v>
      </c>
      <c r="I75" s="17"/>
      <c r="J75" s="17"/>
    </row>
    <row r="76" customFormat="false" ht="58.2" hidden="false" customHeight="false" outlineLevel="0" collapsed="false">
      <c r="A76" s="14" t="s">
        <v>2608</v>
      </c>
      <c r="B76" s="15" t="s">
        <v>2330</v>
      </c>
      <c r="C76" s="15" t="s">
        <v>2295</v>
      </c>
      <c r="D76" s="14" t="s">
        <v>2450</v>
      </c>
      <c r="E76" s="15" t="n">
        <v>4</v>
      </c>
      <c r="F76" s="14" t="s">
        <v>2609</v>
      </c>
      <c r="G76" s="14" t="s">
        <v>2479</v>
      </c>
      <c r="H76" s="16" t="s">
        <v>44</v>
      </c>
      <c r="I76" s="17"/>
      <c r="J76" s="17"/>
    </row>
    <row r="77" customFormat="false" ht="58.2" hidden="false" customHeight="false" outlineLevel="0" collapsed="false">
      <c r="A77" s="14" t="s">
        <v>2610</v>
      </c>
      <c r="B77" s="15" t="s">
        <v>2330</v>
      </c>
      <c r="C77" s="15" t="s">
        <v>2295</v>
      </c>
      <c r="D77" s="14" t="s">
        <v>2450</v>
      </c>
      <c r="E77" s="15" t="n">
        <v>5</v>
      </c>
      <c r="F77" s="15" t="s">
        <v>2611</v>
      </c>
      <c r="G77" s="14" t="s">
        <v>2479</v>
      </c>
      <c r="H77" s="16" t="s">
        <v>44</v>
      </c>
      <c r="I77" s="17"/>
      <c r="J77" s="17"/>
    </row>
    <row r="78" customFormat="false" ht="58.2" hidden="false" customHeight="false" outlineLevel="0" collapsed="false">
      <c r="A78" s="14" t="s">
        <v>2612</v>
      </c>
      <c r="B78" s="15" t="s">
        <v>2330</v>
      </c>
      <c r="C78" s="15" t="s">
        <v>2295</v>
      </c>
      <c r="D78" s="14" t="s">
        <v>2487</v>
      </c>
      <c r="E78" s="15" t="n">
        <v>2</v>
      </c>
      <c r="F78" s="15" t="s">
        <v>2613</v>
      </c>
      <c r="G78" s="15" t="s">
        <v>2614</v>
      </c>
      <c r="H78" s="16" t="s">
        <v>44</v>
      </c>
      <c r="I78" s="17"/>
      <c r="J78" s="17"/>
    </row>
    <row r="79" customFormat="false" ht="44" hidden="false" customHeight="false" outlineLevel="0" collapsed="false">
      <c r="A79" s="14" t="s">
        <v>2615</v>
      </c>
      <c r="B79" s="15" t="s">
        <v>2330</v>
      </c>
      <c r="C79" s="15" t="s">
        <v>2295</v>
      </c>
      <c r="D79" s="14" t="s">
        <v>2487</v>
      </c>
      <c r="E79" s="15" t="n">
        <v>3</v>
      </c>
      <c r="F79" s="14" t="s">
        <v>2616</v>
      </c>
      <c r="G79" s="15" t="s">
        <v>2489</v>
      </c>
      <c r="H79" s="16" t="s">
        <v>44</v>
      </c>
      <c r="I79" s="17"/>
      <c r="J79" s="17"/>
    </row>
    <row r="80" customFormat="false" ht="44" hidden="false" customHeight="false" outlineLevel="0" collapsed="false">
      <c r="A80" s="14" t="s">
        <v>2617</v>
      </c>
      <c r="B80" s="15" t="s">
        <v>2330</v>
      </c>
      <c r="C80" s="15" t="s">
        <v>2295</v>
      </c>
      <c r="D80" s="14" t="s">
        <v>2487</v>
      </c>
      <c r="E80" s="15" t="n">
        <v>4</v>
      </c>
      <c r="F80" s="15" t="s">
        <v>2618</v>
      </c>
      <c r="G80" s="15" t="s">
        <v>2489</v>
      </c>
      <c r="H80" s="16" t="s">
        <v>44</v>
      </c>
      <c r="I80" s="17"/>
      <c r="J80" s="17"/>
    </row>
    <row r="81" customFormat="false" ht="58.2" hidden="false" customHeight="false" outlineLevel="0" collapsed="false">
      <c r="A81" s="14" t="s">
        <v>2619</v>
      </c>
      <c r="B81" s="15" t="s">
        <v>2330</v>
      </c>
      <c r="C81" s="15" t="s">
        <v>2295</v>
      </c>
      <c r="D81" s="14" t="s">
        <v>2487</v>
      </c>
      <c r="E81" s="15" t="n">
        <v>5</v>
      </c>
      <c r="F81" s="15" t="s">
        <v>2620</v>
      </c>
      <c r="G81" s="15" t="s">
        <v>2489</v>
      </c>
      <c r="H81" s="16" t="s">
        <v>44</v>
      </c>
      <c r="I81" s="17"/>
      <c r="J81" s="17"/>
    </row>
    <row r="82" customFormat="false" ht="72.35" hidden="false" customHeight="false" outlineLevel="0" collapsed="false">
      <c r="A82" s="14" t="s">
        <v>2621</v>
      </c>
      <c r="B82" s="15" t="s">
        <v>2346</v>
      </c>
      <c r="C82" s="15" t="s">
        <v>2280</v>
      </c>
      <c r="D82" s="14" t="s">
        <v>2450</v>
      </c>
      <c r="E82" s="15" t="n">
        <v>2</v>
      </c>
      <c r="F82" s="15" t="s">
        <v>2622</v>
      </c>
      <c r="G82" s="14" t="s">
        <v>2452</v>
      </c>
      <c r="H82" s="16" t="s">
        <v>44</v>
      </c>
      <c r="I82" s="17"/>
      <c r="J82" s="17"/>
    </row>
    <row r="83" customFormat="false" ht="72.35" hidden="false" customHeight="false" outlineLevel="0" collapsed="false">
      <c r="A83" s="14" t="s">
        <v>2623</v>
      </c>
      <c r="B83" s="15" t="s">
        <v>2346</v>
      </c>
      <c r="C83" s="15" t="s">
        <v>2280</v>
      </c>
      <c r="D83" s="14" t="s">
        <v>2450</v>
      </c>
      <c r="E83" s="15" t="n">
        <v>3</v>
      </c>
      <c r="F83" s="14" t="s">
        <v>2624</v>
      </c>
      <c r="G83" s="14" t="s">
        <v>2452</v>
      </c>
      <c r="H83" s="16" t="s">
        <v>44</v>
      </c>
      <c r="I83" s="17"/>
      <c r="J83" s="17"/>
    </row>
    <row r="84" customFormat="false" ht="72.35" hidden="false" customHeight="false" outlineLevel="0" collapsed="false">
      <c r="A84" s="14" t="s">
        <v>2625</v>
      </c>
      <c r="B84" s="15" t="s">
        <v>2346</v>
      </c>
      <c r="C84" s="15" t="s">
        <v>2280</v>
      </c>
      <c r="D84" s="14" t="s">
        <v>2450</v>
      </c>
      <c r="E84" s="15" t="n">
        <v>4</v>
      </c>
      <c r="F84" s="15" t="s">
        <v>2626</v>
      </c>
      <c r="G84" s="14" t="s">
        <v>2452</v>
      </c>
      <c r="H84" s="16" t="s">
        <v>44</v>
      </c>
      <c r="I84" s="17"/>
      <c r="J84" s="17"/>
    </row>
    <row r="85" customFormat="false" ht="72.35" hidden="false" customHeight="false" outlineLevel="0" collapsed="false">
      <c r="A85" s="14" t="s">
        <v>2627</v>
      </c>
      <c r="B85" s="15" t="s">
        <v>2346</v>
      </c>
      <c r="C85" s="15" t="s">
        <v>2280</v>
      </c>
      <c r="D85" s="14" t="s">
        <v>2450</v>
      </c>
      <c r="E85" s="15" t="n">
        <v>5</v>
      </c>
      <c r="F85" s="15" t="s">
        <v>2628</v>
      </c>
      <c r="G85" s="14" t="s">
        <v>2452</v>
      </c>
      <c r="H85" s="16" t="s">
        <v>44</v>
      </c>
      <c r="I85" s="17"/>
      <c r="J85" s="17"/>
    </row>
    <row r="86" customFormat="false" ht="58.2" hidden="false" customHeight="false" outlineLevel="0" collapsed="false">
      <c r="A86" s="14" t="s">
        <v>2629</v>
      </c>
      <c r="B86" s="15" t="s">
        <v>2346</v>
      </c>
      <c r="C86" s="15" t="s">
        <v>2285</v>
      </c>
      <c r="D86" s="14" t="s">
        <v>2450</v>
      </c>
      <c r="E86" s="15" t="n">
        <v>2</v>
      </c>
      <c r="F86" s="15" t="s">
        <v>2630</v>
      </c>
      <c r="G86" s="15" t="s">
        <v>2461</v>
      </c>
      <c r="H86" s="16" t="s">
        <v>44</v>
      </c>
      <c r="I86" s="17"/>
      <c r="J86" s="17"/>
    </row>
    <row r="87" customFormat="false" ht="58.2" hidden="false" customHeight="false" outlineLevel="0" collapsed="false">
      <c r="A87" s="14" t="s">
        <v>2631</v>
      </c>
      <c r="B87" s="15" t="s">
        <v>2346</v>
      </c>
      <c r="C87" s="15" t="s">
        <v>2285</v>
      </c>
      <c r="D87" s="14" t="s">
        <v>2450</v>
      </c>
      <c r="E87" s="15" t="n">
        <v>3</v>
      </c>
      <c r="F87" s="15" t="s">
        <v>2632</v>
      </c>
      <c r="G87" s="15" t="s">
        <v>2461</v>
      </c>
      <c r="H87" s="16" t="s">
        <v>44</v>
      </c>
      <c r="I87" s="17"/>
      <c r="J87" s="17"/>
    </row>
    <row r="88" customFormat="false" ht="58.2" hidden="false" customHeight="false" outlineLevel="0" collapsed="false">
      <c r="A88" s="14" t="s">
        <v>2633</v>
      </c>
      <c r="B88" s="15" t="s">
        <v>2346</v>
      </c>
      <c r="C88" s="15" t="s">
        <v>2285</v>
      </c>
      <c r="D88" s="14" t="s">
        <v>2450</v>
      </c>
      <c r="E88" s="15" t="n">
        <v>4</v>
      </c>
      <c r="F88" s="15" t="s">
        <v>2634</v>
      </c>
      <c r="G88" s="15" t="s">
        <v>2461</v>
      </c>
      <c r="H88" s="16" t="s">
        <v>44</v>
      </c>
      <c r="I88" s="17"/>
      <c r="J88" s="17"/>
    </row>
    <row r="89" customFormat="false" ht="58.2" hidden="false" customHeight="false" outlineLevel="0" collapsed="false">
      <c r="A89" s="14" t="s">
        <v>2635</v>
      </c>
      <c r="B89" s="15" t="s">
        <v>2346</v>
      </c>
      <c r="C89" s="15" t="s">
        <v>2285</v>
      </c>
      <c r="D89" s="14" t="s">
        <v>2450</v>
      </c>
      <c r="E89" s="15" t="n">
        <v>5</v>
      </c>
      <c r="F89" s="15" t="s">
        <v>2636</v>
      </c>
      <c r="G89" s="15" t="s">
        <v>2461</v>
      </c>
      <c r="H89" s="16" t="s">
        <v>44</v>
      </c>
      <c r="I89" s="17"/>
      <c r="J89" s="17"/>
    </row>
    <row r="90" customFormat="false" ht="72.35" hidden="false" customHeight="false" outlineLevel="0" collapsed="false">
      <c r="A90" s="14" t="s">
        <v>2637</v>
      </c>
      <c r="B90" s="15" t="s">
        <v>2346</v>
      </c>
      <c r="C90" s="15" t="s">
        <v>2290</v>
      </c>
      <c r="D90" s="14" t="s">
        <v>2450</v>
      </c>
      <c r="E90" s="15" t="n">
        <v>2</v>
      </c>
      <c r="F90" s="15" t="s">
        <v>2638</v>
      </c>
      <c r="G90" s="14" t="s">
        <v>2470</v>
      </c>
      <c r="H90" s="16" t="s">
        <v>44</v>
      </c>
      <c r="I90" s="17"/>
      <c r="J90" s="17"/>
    </row>
    <row r="91" customFormat="false" ht="72.35" hidden="false" customHeight="false" outlineLevel="0" collapsed="false">
      <c r="A91" s="14" t="s">
        <v>2639</v>
      </c>
      <c r="B91" s="15" t="s">
        <v>2346</v>
      </c>
      <c r="C91" s="15" t="s">
        <v>2290</v>
      </c>
      <c r="D91" s="14" t="s">
        <v>2450</v>
      </c>
      <c r="E91" s="15" t="n">
        <v>3</v>
      </c>
      <c r="F91" s="14" t="s">
        <v>2640</v>
      </c>
      <c r="G91" s="14" t="s">
        <v>2470</v>
      </c>
      <c r="H91" s="16" t="s">
        <v>44</v>
      </c>
      <c r="I91" s="17"/>
      <c r="J91" s="17"/>
    </row>
    <row r="92" customFormat="false" ht="72.35" hidden="false" customHeight="false" outlineLevel="0" collapsed="false">
      <c r="A92" s="14" t="s">
        <v>2641</v>
      </c>
      <c r="B92" s="15" t="s">
        <v>2346</v>
      </c>
      <c r="C92" s="15" t="s">
        <v>2290</v>
      </c>
      <c r="D92" s="14" t="s">
        <v>2450</v>
      </c>
      <c r="E92" s="15" t="n">
        <v>4</v>
      </c>
      <c r="F92" s="15" t="s">
        <v>2642</v>
      </c>
      <c r="G92" s="14" t="s">
        <v>2470</v>
      </c>
      <c r="H92" s="16" t="s">
        <v>44</v>
      </c>
      <c r="I92" s="17"/>
      <c r="J92" s="17"/>
    </row>
    <row r="93" customFormat="false" ht="72.35" hidden="false" customHeight="false" outlineLevel="0" collapsed="false">
      <c r="A93" s="14" t="s">
        <v>2643</v>
      </c>
      <c r="B93" s="15" t="s">
        <v>2346</v>
      </c>
      <c r="C93" s="15" t="s">
        <v>2290</v>
      </c>
      <c r="D93" s="14" t="s">
        <v>2450</v>
      </c>
      <c r="E93" s="15" t="n">
        <v>5</v>
      </c>
      <c r="F93" s="15" t="s">
        <v>2644</v>
      </c>
      <c r="G93" s="14" t="s">
        <v>2470</v>
      </c>
      <c r="H93" s="16" t="s">
        <v>44</v>
      </c>
      <c r="I93" s="17"/>
      <c r="J93" s="17"/>
    </row>
    <row r="94" customFormat="false" ht="58.2" hidden="false" customHeight="false" outlineLevel="0" collapsed="false">
      <c r="A94" s="14" t="s">
        <v>2645</v>
      </c>
      <c r="B94" s="15" t="s">
        <v>2346</v>
      </c>
      <c r="C94" s="15" t="s">
        <v>2295</v>
      </c>
      <c r="D94" s="14" t="s">
        <v>2450</v>
      </c>
      <c r="E94" s="15" t="n">
        <v>2</v>
      </c>
      <c r="F94" s="15" t="s">
        <v>2646</v>
      </c>
      <c r="G94" s="14" t="s">
        <v>2479</v>
      </c>
      <c r="H94" s="16" t="s">
        <v>44</v>
      </c>
      <c r="I94" s="17"/>
      <c r="J94" s="17"/>
    </row>
    <row r="95" customFormat="false" ht="58.2" hidden="false" customHeight="false" outlineLevel="0" collapsed="false">
      <c r="A95" s="14" t="s">
        <v>2647</v>
      </c>
      <c r="B95" s="15" t="s">
        <v>2346</v>
      </c>
      <c r="C95" s="15" t="s">
        <v>2295</v>
      </c>
      <c r="D95" s="14" t="s">
        <v>2450</v>
      </c>
      <c r="E95" s="15" t="n">
        <v>3</v>
      </c>
      <c r="F95" s="14" t="s">
        <v>2648</v>
      </c>
      <c r="G95" s="14" t="s">
        <v>2479</v>
      </c>
      <c r="H95" s="16" t="s">
        <v>44</v>
      </c>
      <c r="I95" s="17"/>
      <c r="J95" s="17"/>
    </row>
    <row r="96" customFormat="false" ht="58.2" hidden="false" customHeight="false" outlineLevel="0" collapsed="false">
      <c r="A96" s="14" t="s">
        <v>2649</v>
      </c>
      <c r="B96" s="15" t="s">
        <v>2346</v>
      </c>
      <c r="C96" s="15" t="s">
        <v>2295</v>
      </c>
      <c r="D96" s="14" t="s">
        <v>2450</v>
      </c>
      <c r="E96" s="15" t="n">
        <v>4</v>
      </c>
      <c r="F96" s="14" t="s">
        <v>2650</v>
      </c>
      <c r="G96" s="14" t="s">
        <v>2479</v>
      </c>
      <c r="H96" s="16" t="s">
        <v>44</v>
      </c>
      <c r="I96" s="17"/>
      <c r="J96" s="17"/>
    </row>
    <row r="97" customFormat="false" ht="58.2" hidden="false" customHeight="false" outlineLevel="0" collapsed="false">
      <c r="A97" s="14" t="s">
        <v>2651</v>
      </c>
      <c r="B97" s="15" t="s">
        <v>2346</v>
      </c>
      <c r="C97" s="15" t="s">
        <v>2295</v>
      </c>
      <c r="D97" s="14" t="s">
        <v>2450</v>
      </c>
      <c r="E97" s="15" t="n">
        <v>5</v>
      </c>
      <c r="F97" s="15" t="s">
        <v>2652</v>
      </c>
      <c r="G97" s="14" t="s">
        <v>2479</v>
      </c>
      <c r="H97" s="16" t="s">
        <v>44</v>
      </c>
      <c r="I97" s="17"/>
      <c r="J97" s="17"/>
    </row>
    <row r="98" customFormat="false" ht="58.2" hidden="false" customHeight="false" outlineLevel="0" collapsed="false">
      <c r="A98" s="14" t="s">
        <v>2653</v>
      </c>
      <c r="B98" s="15" t="s">
        <v>2346</v>
      </c>
      <c r="C98" s="15" t="s">
        <v>2295</v>
      </c>
      <c r="D98" s="14" t="s">
        <v>2487</v>
      </c>
      <c r="E98" s="15" t="n">
        <v>2</v>
      </c>
      <c r="F98" s="15" t="s">
        <v>2654</v>
      </c>
      <c r="G98" s="15" t="s">
        <v>2489</v>
      </c>
      <c r="H98" s="16" t="s">
        <v>44</v>
      </c>
      <c r="I98" s="17"/>
      <c r="J98" s="17"/>
    </row>
    <row r="99" customFormat="false" ht="44" hidden="false" customHeight="false" outlineLevel="0" collapsed="false">
      <c r="A99" s="14" t="s">
        <v>2655</v>
      </c>
      <c r="B99" s="15" t="s">
        <v>2346</v>
      </c>
      <c r="C99" s="15" t="s">
        <v>2295</v>
      </c>
      <c r="D99" s="14" t="s">
        <v>2487</v>
      </c>
      <c r="E99" s="15" t="n">
        <v>3</v>
      </c>
      <c r="F99" s="14" t="s">
        <v>2656</v>
      </c>
      <c r="G99" s="15" t="s">
        <v>2489</v>
      </c>
      <c r="H99" s="16" t="s">
        <v>44</v>
      </c>
      <c r="I99" s="17"/>
      <c r="J99" s="17"/>
    </row>
    <row r="100" customFormat="false" ht="44" hidden="false" customHeight="false" outlineLevel="0" collapsed="false">
      <c r="A100" s="14" t="s">
        <v>2657</v>
      </c>
      <c r="B100" s="15" t="s">
        <v>2346</v>
      </c>
      <c r="C100" s="15" t="s">
        <v>2295</v>
      </c>
      <c r="D100" s="14" t="s">
        <v>2487</v>
      </c>
      <c r="E100" s="15" t="n">
        <v>4</v>
      </c>
      <c r="F100" s="15" t="s">
        <v>2658</v>
      </c>
      <c r="G100" s="15" t="s">
        <v>2489</v>
      </c>
      <c r="H100" s="16" t="s">
        <v>44</v>
      </c>
      <c r="I100" s="17"/>
      <c r="J100" s="17"/>
    </row>
    <row r="101" customFormat="false" ht="58.2" hidden="false" customHeight="false" outlineLevel="0" collapsed="false">
      <c r="A101" s="14" t="s">
        <v>2659</v>
      </c>
      <c r="B101" s="15" t="s">
        <v>2346</v>
      </c>
      <c r="C101" s="15" t="s">
        <v>2295</v>
      </c>
      <c r="D101" s="14" t="s">
        <v>2487</v>
      </c>
      <c r="E101" s="15" t="n">
        <v>5</v>
      </c>
      <c r="F101" s="15" t="s">
        <v>2660</v>
      </c>
      <c r="G101" s="15" t="s">
        <v>2489</v>
      </c>
      <c r="H101" s="16" t="s">
        <v>44</v>
      </c>
      <c r="I101" s="17"/>
      <c r="J101" s="17"/>
    </row>
    <row r="102" customFormat="false" ht="72.35" hidden="false" customHeight="false" outlineLevel="0" collapsed="false">
      <c r="A102" s="14" t="s">
        <v>2661</v>
      </c>
      <c r="B102" s="15" t="s">
        <v>2360</v>
      </c>
      <c r="C102" s="15" t="s">
        <v>2280</v>
      </c>
      <c r="D102" s="14" t="s">
        <v>2450</v>
      </c>
      <c r="E102" s="15" t="n">
        <v>2</v>
      </c>
      <c r="F102" s="15" t="s">
        <v>2662</v>
      </c>
      <c r="G102" s="14" t="s">
        <v>2452</v>
      </c>
      <c r="H102" s="16" t="s">
        <v>44</v>
      </c>
      <c r="I102" s="17"/>
      <c r="J102" s="17"/>
    </row>
    <row r="103" customFormat="false" ht="72.35" hidden="false" customHeight="false" outlineLevel="0" collapsed="false">
      <c r="A103" s="14" t="s">
        <v>2663</v>
      </c>
      <c r="B103" s="15" t="s">
        <v>2360</v>
      </c>
      <c r="C103" s="15" t="s">
        <v>2280</v>
      </c>
      <c r="D103" s="14" t="s">
        <v>2450</v>
      </c>
      <c r="E103" s="15" t="n">
        <v>3</v>
      </c>
      <c r="F103" s="15" t="s">
        <v>2664</v>
      </c>
      <c r="G103" s="14" t="s">
        <v>2452</v>
      </c>
      <c r="H103" s="16" t="s">
        <v>44</v>
      </c>
      <c r="I103" s="17"/>
      <c r="J103" s="17"/>
    </row>
    <row r="104" customFormat="false" ht="86.55" hidden="false" customHeight="false" outlineLevel="0" collapsed="false">
      <c r="A104" s="14" t="s">
        <v>2665</v>
      </c>
      <c r="B104" s="15" t="s">
        <v>2360</v>
      </c>
      <c r="C104" s="15" t="s">
        <v>2280</v>
      </c>
      <c r="D104" s="14" t="s">
        <v>2450</v>
      </c>
      <c r="E104" s="15" t="n">
        <v>4</v>
      </c>
      <c r="F104" s="14" t="s">
        <v>2666</v>
      </c>
      <c r="G104" s="14" t="s">
        <v>2452</v>
      </c>
      <c r="H104" s="16" t="s">
        <v>44</v>
      </c>
      <c r="I104" s="17"/>
      <c r="J104" s="17"/>
    </row>
    <row r="105" customFormat="false" ht="72.35" hidden="false" customHeight="false" outlineLevel="0" collapsed="false">
      <c r="A105" s="14" t="s">
        <v>2667</v>
      </c>
      <c r="B105" s="15" t="s">
        <v>2360</v>
      </c>
      <c r="C105" s="15" t="s">
        <v>2280</v>
      </c>
      <c r="D105" s="14" t="s">
        <v>2450</v>
      </c>
      <c r="E105" s="15" t="n">
        <v>5</v>
      </c>
      <c r="F105" s="15" t="s">
        <v>2668</v>
      </c>
      <c r="G105" s="14" t="s">
        <v>2452</v>
      </c>
      <c r="H105" s="16" t="s">
        <v>44</v>
      </c>
      <c r="I105" s="17"/>
      <c r="J105" s="17"/>
    </row>
    <row r="106" customFormat="false" ht="58.2" hidden="false" customHeight="false" outlineLevel="0" collapsed="false">
      <c r="A106" s="14" t="s">
        <v>2669</v>
      </c>
      <c r="B106" s="15" t="s">
        <v>2360</v>
      </c>
      <c r="C106" s="15" t="s">
        <v>2285</v>
      </c>
      <c r="D106" s="14" t="s">
        <v>2450</v>
      </c>
      <c r="E106" s="15" t="n">
        <v>2</v>
      </c>
      <c r="F106" s="15" t="s">
        <v>2670</v>
      </c>
      <c r="G106" s="15" t="s">
        <v>2461</v>
      </c>
      <c r="H106" s="16" t="s">
        <v>44</v>
      </c>
      <c r="I106" s="17"/>
      <c r="J106" s="17"/>
    </row>
    <row r="107" customFormat="false" ht="58.2" hidden="false" customHeight="false" outlineLevel="0" collapsed="false">
      <c r="A107" s="14" t="s">
        <v>2671</v>
      </c>
      <c r="B107" s="15" t="s">
        <v>2360</v>
      </c>
      <c r="C107" s="15" t="s">
        <v>2285</v>
      </c>
      <c r="D107" s="14" t="s">
        <v>2450</v>
      </c>
      <c r="E107" s="15" t="n">
        <v>3</v>
      </c>
      <c r="F107" s="15" t="s">
        <v>2672</v>
      </c>
      <c r="G107" s="15" t="s">
        <v>2461</v>
      </c>
      <c r="H107" s="16" t="s">
        <v>44</v>
      </c>
      <c r="I107" s="17"/>
      <c r="J107" s="17"/>
    </row>
    <row r="108" customFormat="false" ht="44" hidden="false" customHeight="false" outlineLevel="0" collapsed="false">
      <c r="A108" s="14" t="s">
        <v>2673</v>
      </c>
      <c r="B108" s="15" t="s">
        <v>2360</v>
      </c>
      <c r="C108" s="15" t="s">
        <v>2285</v>
      </c>
      <c r="D108" s="14" t="s">
        <v>2450</v>
      </c>
      <c r="E108" s="15" t="n">
        <v>4</v>
      </c>
      <c r="F108" s="15" t="s">
        <v>2674</v>
      </c>
      <c r="G108" s="15" t="s">
        <v>2461</v>
      </c>
      <c r="H108" s="16" t="s">
        <v>44</v>
      </c>
      <c r="I108" s="17"/>
      <c r="J108" s="17"/>
    </row>
    <row r="109" customFormat="false" ht="58.2" hidden="false" customHeight="false" outlineLevel="0" collapsed="false">
      <c r="A109" s="14" t="s">
        <v>2675</v>
      </c>
      <c r="B109" s="15" t="s">
        <v>2360</v>
      </c>
      <c r="C109" s="15" t="s">
        <v>2285</v>
      </c>
      <c r="D109" s="14" t="s">
        <v>2450</v>
      </c>
      <c r="E109" s="15" t="n">
        <v>5</v>
      </c>
      <c r="F109" s="15" t="s">
        <v>2676</v>
      </c>
      <c r="G109" s="15" t="s">
        <v>2461</v>
      </c>
      <c r="H109" s="16" t="s">
        <v>44</v>
      </c>
      <c r="I109" s="17"/>
      <c r="J109" s="17"/>
    </row>
    <row r="110" customFormat="false" ht="72.35" hidden="false" customHeight="false" outlineLevel="0" collapsed="false">
      <c r="A110" s="14" t="s">
        <v>2677</v>
      </c>
      <c r="B110" s="15" t="s">
        <v>2360</v>
      </c>
      <c r="C110" s="15" t="s">
        <v>2290</v>
      </c>
      <c r="D110" s="14" t="s">
        <v>2450</v>
      </c>
      <c r="E110" s="15" t="n">
        <v>2</v>
      </c>
      <c r="F110" s="15" t="s">
        <v>2678</v>
      </c>
      <c r="G110" s="14" t="s">
        <v>2470</v>
      </c>
      <c r="H110" s="16" t="s">
        <v>44</v>
      </c>
      <c r="I110" s="17"/>
      <c r="J110" s="17"/>
    </row>
    <row r="111" customFormat="false" ht="72.35" hidden="false" customHeight="false" outlineLevel="0" collapsed="false">
      <c r="A111" s="14" t="s">
        <v>2679</v>
      </c>
      <c r="B111" s="15" t="s">
        <v>2360</v>
      </c>
      <c r="C111" s="15" t="s">
        <v>2290</v>
      </c>
      <c r="D111" s="14" t="s">
        <v>2450</v>
      </c>
      <c r="E111" s="15" t="n">
        <v>3</v>
      </c>
      <c r="F111" s="14" t="s">
        <v>2680</v>
      </c>
      <c r="G111" s="14" t="s">
        <v>2470</v>
      </c>
      <c r="H111" s="16" t="s">
        <v>44</v>
      </c>
      <c r="I111" s="17"/>
      <c r="J111" s="17"/>
    </row>
    <row r="112" customFormat="false" ht="72.35" hidden="false" customHeight="false" outlineLevel="0" collapsed="false">
      <c r="A112" s="14" t="s">
        <v>2681</v>
      </c>
      <c r="B112" s="15" t="s">
        <v>2360</v>
      </c>
      <c r="C112" s="15" t="s">
        <v>2290</v>
      </c>
      <c r="D112" s="14" t="s">
        <v>2450</v>
      </c>
      <c r="E112" s="15" t="n">
        <v>4</v>
      </c>
      <c r="F112" s="15" t="s">
        <v>2682</v>
      </c>
      <c r="G112" s="14" t="s">
        <v>2470</v>
      </c>
      <c r="H112" s="16" t="s">
        <v>44</v>
      </c>
      <c r="I112" s="17"/>
      <c r="J112" s="17"/>
    </row>
    <row r="113" customFormat="false" ht="72.35" hidden="false" customHeight="false" outlineLevel="0" collapsed="false">
      <c r="A113" s="14" t="s">
        <v>2683</v>
      </c>
      <c r="B113" s="15" t="s">
        <v>2360</v>
      </c>
      <c r="C113" s="15" t="s">
        <v>2290</v>
      </c>
      <c r="D113" s="14" t="s">
        <v>2450</v>
      </c>
      <c r="E113" s="15" t="n">
        <v>5</v>
      </c>
      <c r="F113" s="15" t="s">
        <v>2684</v>
      </c>
      <c r="G113" s="14" t="s">
        <v>2470</v>
      </c>
      <c r="H113" s="16" t="s">
        <v>44</v>
      </c>
      <c r="I113" s="17"/>
      <c r="J113" s="17"/>
    </row>
    <row r="114" customFormat="false" ht="58.2" hidden="false" customHeight="false" outlineLevel="0" collapsed="false">
      <c r="A114" s="14" t="s">
        <v>2685</v>
      </c>
      <c r="B114" s="15" t="s">
        <v>2360</v>
      </c>
      <c r="C114" s="15" t="s">
        <v>2295</v>
      </c>
      <c r="D114" s="14" t="s">
        <v>2450</v>
      </c>
      <c r="E114" s="15" t="n">
        <v>2</v>
      </c>
      <c r="F114" s="15" t="s">
        <v>2686</v>
      </c>
      <c r="G114" s="14" t="s">
        <v>2479</v>
      </c>
      <c r="H114" s="16" t="s">
        <v>44</v>
      </c>
      <c r="I114" s="17"/>
      <c r="J114" s="17"/>
    </row>
    <row r="115" customFormat="false" ht="58.2" hidden="false" customHeight="false" outlineLevel="0" collapsed="false">
      <c r="A115" s="14" t="s">
        <v>2687</v>
      </c>
      <c r="B115" s="15" t="s">
        <v>2360</v>
      </c>
      <c r="C115" s="15" t="s">
        <v>2295</v>
      </c>
      <c r="D115" s="14" t="s">
        <v>2450</v>
      </c>
      <c r="E115" s="15" t="n">
        <v>3</v>
      </c>
      <c r="F115" s="14" t="s">
        <v>2688</v>
      </c>
      <c r="G115" s="14" t="s">
        <v>2479</v>
      </c>
      <c r="H115" s="16" t="s">
        <v>44</v>
      </c>
      <c r="I115" s="17"/>
      <c r="J115" s="17"/>
    </row>
    <row r="116" customFormat="false" ht="58.2" hidden="false" customHeight="false" outlineLevel="0" collapsed="false">
      <c r="A116" s="14" t="s">
        <v>2689</v>
      </c>
      <c r="B116" s="15" t="s">
        <v>2360</v>
      </c>
      <c r="C116" s="15" t="s">
        <v>2295</v>
      </c>
      <c r="D116" s="14" t="s">
        <v>2450</v>
      </c>
      <c r="E116" s="15" t="n">
        <v>4</v>
      </c>
      <c r="F116" s="14" t="s">
        <v>2690</v>
      </c>
      <c r="G116" s="14" t="s">
        <v>2479</v>
      </c>
      <c r="H116" s="16" t="s">
        <v>44</v>
      </c>
      <c r="I116" s="17"/>
      <c r="J116" s="17"/>
    </row>
    <row r="117" customFormat="false" ht="58.2" hidden="false" customHeight="false" outlineLevel="0" collapsed="false">
      <c r="A117" s="14" t="s">
        <v>2691</v>
      </c>
      <c r="B117" s="15" t="s">
        <v>2360</v>
      </c>
      <c r="C117" s="15" t="s">
        <v>2295</v>
      </c>
      <c r="D117" s="14" t="s">
        <v>2450</v>
      </c>
      <c r="E117" s="15" t="n">
        <v>5</v>
      </c>
      <c r="F117" s="15" t="s">
        <v>2692</v>
      </c>
      <c r="G117" s="14" t="s">
        <v>2479</v>
      </c>
      <c r="H117" s="16" t="s">
        <v>44</v>
      </c>
      <c r="I117" s="17"/>
      <c r="J117" s="17"/>
    </row>
    <row r="118" customFormat="false" ht="58.2" hidden="false" customHeight="false" outlineLevel="0" collapsed="false">
      <c r="A118" s="14" t="s">
        <v>2693</v>
      </c>
      <c r="B118" s="15" t="s">
        <v>2360</v>
      </c>
      <c r="C118" s="15" t="s">
        <v>2295</v>
      </c>
      <c r="D118" s="14" t="s">
        <v>2487</v>
      </c>
      <c r="E118" s="15" t="n">
        <v>2</v>
      </c>
      <c r="F118" s="15" t="s">
        <v>2694</v>
      </c>
      <c r="G118" s="15" t="s">
        <v>2489</v>
      </c>
      <c r="H118" s="16" t="s">
        <v>44</v>
      </c>
      <c r="I118" s="17"/>
      <c r="J118" s="17"/>
    </row>
    <row r="119" customFormat="false" ht="44" hidden="false" customHeight="false" outlineLevel="0" collapsed="false">
      <c r="A119" s="14" t="s">
        <v>2695</v>
      </c>
      <c r="B119" s="15" t="s">
        <v>2360</v>
      </c>
      <c r="C119" s="15" t="s">
        <v>2295</v>
      </c>
      <c r="D119" s="14" t="s">
        <v>2487</v>
      </c>
      <c r="E119" s="15" t="n">
        <v>3</v>
      </c>
      <c r="F119" s="14" t="s">
        <v>2696</v>
      </c>
      <c r="G119" s="15" t="s">
        <v>2489</v>
      </c>
      <c r="H119" s="16" t="s">
        <v>44</v>
      </c>
      <c r="I119" s="17"/>
      <c r="J119" s="17"/>
    </row>
    <row r="120" customFormat="false" ht="44" hidden="false" customHeight="false" outlineLevel="0" collapsed="false">
      <c r="A120" s="14" t="s">
        <v>2697</v>
      </c>
      <c r="B120" s="15" t="s">
        <v>2360</v>
      </c>
      <c r="C120" s="15" t="s">
        <v>2295</v>
      </c>
      <c r="D120" s="14" t="s">
        <v>2487</v>
      </c>
      <c r="E120" s="15" t="n">
        <v>4</v>
      </c>
      <c r="F120" s="15" t="s">
        <v>2698</v>
      </c>
      <c r="G120" s="15" t="s">
        <v>2489</v>
      </c>
      <c r="H120" s="16" t="s">
        <v>44</v>
      </c>
      <c r="I120" s="17"/>
      <c r="J120" s="17"/>
    </row>
    <row r="121" customFormat="false" ht="58.2" hidden="false" customHeight="false" outlineLevel="0" collapsed="false">
      <c r="A121" s="14" t="s">
        <v>2699</v>
      </c>
      <c r="B121" s="15" t="s">
        <v>2360</v>
      </c>
      <c r="C121" s="15" t="s">
        <v>2295</v>
      </c>
      <c r="D121" s="14" t="s">
        <v>2487</v>
      </c>
      <c r="E121" s="15" t="n">
        <v>5</v>
      </c>
      <c r="F121" s="15" t="s">
        <v>2700</v>
      </c>
      <c r="G121" s="15" t="s">
        <v>2489</v>
      </c>
      <c r="H121" s="16" t="s">
        <v>44</v>
      </c>
      <c r="I121" s="17"/>
      <c r="J121" s="17"/>
    </row>
    <row r="122" customFormat="false" ht="58.2" hidden="false" customHeight="false" outlineLevel="0" collapsed="false">
      <c r="A122" s="14" t="s">
        <v>2701</v>
      </c>
      <c r="B122" s="15" t="s">
        <v>2374</v>
      </c>
      <c r="C122" s="15" t="s">
        <v>2280</v>
      </c>
      <c r="D122" s="14" t="s">
        <v>2450</v>
      </c>
      <c r="E122" s="15" t="n">
        <v>2</v>
      </c>
      <c r="F122" s="15" t="s">
        <v>2702</v>
      </c>
      <c r="G122" s="14" t="s">
        <v>2703</v>
      </c>
      <c r="H122" s="16" t="s">
        <v>44</v>
      </c>
      <c r="I122" s="17"/>
      <c r="J122" s="17"/>
    </row>
    <row r="123" customFormat="false" ht="72.35" hidden="false" customHeight="false" outlineLevel="0" collapsed="false">
      <c r="A123" s="14" t="s">
        <v>2704</v>
      </c>
      <c r="B123" s="15" t="s">
        <v>2374</v>
      </c>
      <c r="C123" s="15" t="s">
        <v>2280</v>
      </c>
      <c r="D123" s="14" t="s">
        <v>2450</v>
      </c>
      <c r="E123" s="15" t="n">
        <v>3</v>
      </c>
      <c r="F123" s="14" t="s">
        <v>2705</v>
      </c>
      <c r="G123" s="14" t="s">
        <v>2452</v>
      </c>
      <c r="H123" s="16" t="s">
        <v>44</v>
      </c>
      <c r="I123" s="17"/>
      <c r="J123" s="17"/>
    </row>
    <row r="124" customFormat="false" ht="72.35" hidden="false" customHeight="false" outlineLevel="0" collapsed="false">
      <c r="A124" s="14" t="s">
        <v>2706</v>
      </c>
      <c r="B124" s="15" t="s">
        <v>2374</v>
      </c>
      <c r="C124" s="15" t="s">
        <v>2280</v>
      </c>
      <c r="D124" s="14" t="s">
        <v>2450</v>
      </c>
      <c r="E124" s="15" t="n">
        <v>4</v>
      </c>
      <c r="F124" s="15" t="s">
        <v>2707</v>
      </c>
      <c r="G124" s="14" t="s">
        <v>2452</v>
      </c>
      <c r="H124" s="16" t="s">
        <v>44</v>
      </c>
      <c r="I124" s="17"/>
      <c r="J124" s="17"/>
    </row>
    <row r="125" customFormat="false" ht="58.2" hidden="false" customHeight="false" outlineLevel="0" collapsed="false">
      <c r="A125" s="14" t="s">
        <v>2708</v>
      </c>
      <c r="B125" s="15" t="s">
        <v>2374</v>
      </c>
      <c r="C125" s="15" t="s">
        <v>2280</v>
      </c>
      <c r="D125" s="14" t="s">
        <v>2450</v>
      </c>
      <c r="E125" s="15" t="n">
        <v>5</v>
      </c>
      <c r="F125" s="15" t="s">
        <v>2709</v>
      </c>
      <c r="G125" s="14" t="s">
        <v>2452</v>
      </c>
      <c r="H125" s="16" t="s">
        <v>44</v>
      </c>
      <c r="I125" s="17"/>
      <c r="J125" s="17"/>
    </row>
    <row r="126" customFormat="false" ht="58.2" hidden="false" customHeight="false" outlineLevel="0" collapsed="false">
      <c r="A126" s="14" t="s">
        <v>2710</v>
      </c>
      <c r="B126" s="15" t="s">
        <v>2374</v>
      </c>
      <c r="C126" s="15" t="s">
        <v>2285</v>
      </c>
      <c r="D126" s="14" t="s">
        <v>2450</v>
      </c>
      <c r="E126" s="15" t="n">
        <v>2</v>
      </c>
      <c r="F126" s="15" t="s">
        <v>2711</v>
      </c>
      <c r="G126" s="15" t="s">
        <v>2712</v>
      </c>
      <c r="H126" s="16" t="s">
        <v>44</v>
      </c>
      <c r="I126" s="17"/>
      <c r="J126" s="17"/>
    </row>
    <row r="127" customFormat="false" ht="58.2" hidden="false" customHeight="false" outlineLevel="0" collapsed="false">
      <c r="A127" s="14" t="s">
        <v>2713</v>
      </c>
      <c r="B127" s="15" t="s">
        <v>2374</v>
      </c>
      <c r="C127" s="15" t="s">
        <v>2285</v>
      </c>
      <c r="D127" s="14" t="s">
        <v>2450</v>
      </c>
      <c r="E127" s="15" t="n">
        <v>3</v>
      </c>
      <c r="F127" s="15" t="s">
        <v>2714</v>
      </c>
      <c r="G127" s="15" t="s">
        <v>2461</v>
      </c>
      <c r="H127" s="16" t="s">
        <v>44</v>
      </c>
      <c r="I127" s="17"/>
      <c r="J127" s="17"/>
    </row>
    <row r="128" customFormat="false" ht="58.2" hidden="false" customHeight="false" outlineLevel="0" collapsed="false">
      <c r="A128" s="14" t="s">
        <v>2715</v>
      </c>
      <c r="B128" s="15" t="s">
        <v>2374</v>
      </c>
      <c r="C128" s="15" t="s">
        <v>2285</v>
      </c>
      <c r="D128" s="14" t="s">
        <v>2450</v>
      </c>
      <c r="E128" s="15" t="n">
        <v>4</v>
      </c>
      <c r="F128" s="15" t="s">
        <v>2716</v>
      </c>
      <c r="G128" s="15" t="s">
        <v>2461</v>
      </c>
      <c r="H128" s="16" t="s">
        <v>44</v>
      </c>
      <c r="I128" s="17"/>
      <c r="J128" s="17"/>
    </row>
    <row r="129" customFormat="false" ht="58.2" hidden="false" customHeight="false" outlineLevel="0" collapsed="false">
      <c r="A129" s="14" t="s">
        <v>2717</v>
      </c>
      <c r="B129" s="15" t="s">
        <v>2374</v>
      </c>
      <c r="C129" s="15" t="s">
        <v>2285</v>
      </c>
      <c r="D129" s="14" t="s">
        <v>2450</v>
      </c>
      <c r="E129" s="15" t="n">
        <v>5</v>
      </c>
      <c r="F129" s="15" t="s">
        <v>2718</v>
      </c>
      <c r="G129" s="15" t="s">
        <v>2461</v>
      </c>
      <c r="H129" s="16" t="s">
        <v>44</v>
      </c>
      <c r="I129" s="17"/>
      <c r="J129" s="17"/>
    </row>
    <row r="130" customFormat="false" ht="72.35" hidden="false" customHeight="false" outlineLevel="0" collapsed="false">
      <c r="A130" s="14" t="s">
        <v>2719</v>
      </c>
      <c r="B130" s="15" t="s">
        <v>2374</v>
      </c>
      <c r="C130" s="15" t="s">
        <v>2290</v>
      </c>
      <c r="D130" s="14" t="s">
        <v>2450</v>
      </c>
      <c r="E130" s="15" t="n">
        <v>2</v>
      </c>
      <c r="F130" s="15" t="s">
        <v>2720</v>
      </c>
      <c r="G130" s="14" t="s">
        <v>2721</v>
      </c>
      <c r="H130" s="16" t="s">
        <v>44</v>
      </c>
      <c r="I130" s="17"/>
      <c r="J130" s="17"/>
    </row>
    <row r="131" customFormat="false" ht="72.35" hidden="false" customHeight="false" outlineLevel="0" collapsed="false">
      <c r="A131" s="14" t="s">
        <v>2722</v>
      </c>
      <c r="B131" s="15" t="s">
        <v>2374</v>
      </c>
      <c r="C131" s="15" t="s">
        <v>2290</v>
      </c>
      <c r="D131" s="14" t="s">
        <v>2450</v>
      </c>
      <c r="E131" s="15" t="n">
        <v>3</v>
      </c>
      <c r="F131" s="14" t="s">
        <v>2723</v>
      </c>
      <c r="G131" s="14" t="s">
        <v>2470</v>
      </c>
      <c r="H131" s="16" t="s">
        <v>44</v>
      </c>
      <c r="I131" s="17"/>
      <c r="J131" s="17"/>
    </row>
    <row r="132" customFormat="false" ht="86.55" hidden="false" customHeight="false" outlineLevel="0" collapsed="false">
      <c r="A132" s="14" t="s">
        <v>2724</v>
      </c>
      <c r="B132" s="15" t="s">
        <v>2374</v>
      </c>
      <c r="C132" s="15" t="s">
        <v>2290</v>
      </c>
      <c r="D132" s="14" t="s">
        <v>2450</v>
      </c>
      <c r="E132" s="15" t="n">
        <v>4</v>
      </c>
      <c r="F132" s="15" t="s">
        <v>2725</v>
      </c>
      <c r="G132" s="14" t="s">
        <v>2470</v>
      </c>
      <c r="H132" s="16" t="s">
        <v>44</v>
      </c>
      <c r="I132" s="17"/>
      <c r="J132" s="17"/>
    </row>
    <row r="133" customFormat="false" ht="72.35" hidden="false" customHeight="false" outlineLevel="0" collapsed="false">
      <c r="A133" s="14" t="s">
        <v>2726</v>
      </c>
      <c r="B133" s="15" t="s">
        <v>2374</v>
      </c>
      <c r="C133" s="15" t="s">
        <v>2290</v>
      </c>
      <c r="D133" s="14" t="s">
        <v>2450</v>
      </c>
      <c r="E133" s="15" t="n">
        <v>5</v>
      </c>
      <c r="F133" s="15" t="s">
        <v>2727</v>
      </c>
      <c r="G133" s="14" t="s">
        <v>2470</v>
      </c>
      <c r="H133" s="16" t="s">
        <v>44</v>
      </c>
      <c r="I133" s="17"/>
      <c r="J133" s="17"/>
    </row>
    <row r="134" customFormat="false" ht="58.2" hidden="false" customHeight="false" outlineLevel="0" collapsed="false">
      <c r="A134" s="14" t="s">
        <v>2728</v>
      </c>
      <c r="B134" s="15" t="s">
        <v>2374</v>
      </c>
      <c r="C134" s="15" t="s">
        <v>2295</v>
      </c>
      <c r="D134" s="14" t="s">
        <v>2450</v>
      </c>
      <c r="E134" s="15" t="n">
        <v>2</v>
      </c>
      <c r="F134" s="15" t="s">
        <v>2729</v>
      </c>
      <c r="G134" s="14" t="s">
        <v>2730</v>
      </c>
      <c r="H134" s="16" t="s">
        <v>44</v>
      </c>
      <c r="I134" s="17"/>
      <c r="J134" s="17"/>
    </row>
    <row r="135" customFormat="false" ht="58.2" hidden="false" customHeight="false" outlineLevel="0" collapsed="false">
      <c r="A135" s="14" t="s">
        <v>2731</v>
      </c>
      <c r="B135" s="15" t="s">
        <v>2374</v>
      </c>
      <c r="C135" s="15" t="s">
        <v>2295</v>
      </c>
      <c r="D135" s="14" t="s">
        <v>2450</v>
      </c>
      <c r="E135" s="15" t="n">
        <v>3</v>
      </c>
      <c r="F135" s="14" t="s">
        <v>2732</v>
      </c>
      <c r="G135" s="14" t="s">
        <v>2479</v>
      </c>
      <c r="H135" s="16" t="s">
        <v>44</v>
      </c>
      <c r="I135" s="17"/>
      <c r="J135" s="17"/>
    </row>
    <row r="136" customFormat="false" ht="58.2" hidden="false" customHeight="false" outlineLevel="0" collapsed="false">
      <c r="A136" s="14" t="s">
        <v>2733</v>
      </c>
      <c r="B136" s="15" t="s">
        <v>2374</v>
      </c>
      <c r="C136" s="15" t="s">
        <v>2295</v>
      </c>
      <c r="D136" s="14" t="s">
        <v>2450</v>
      </c>
      <c r="E136" s="15" t="n">
        <v>4</v>
      </c>
      <c r="F136" s="14" t="s">
        <v>2734</v>
      </c>
      <c r="G136" s="14" t="s">
        <v>2479</v>
      </c>
      <c r="H136" s="16" t="s">
        <v>44</v>
      </c>
      <c r="I136" s="17"/>
      <c r="J136" s="17"/>
    </row>
    <row r="137" customFormat="false" ht="58.2" hidden="false" customHeight="false" outlineLevel="0" collapsed="false">
      <c r="A137" s="14" t="s">
        <v>2735</v>
      </c>
      <c r="B137" s="15" t="s">
        <v>2374</v>
      </c>
      <c r="C137" s="15" t="s">
        <v>2295</v>
      </c>
      <c r="D137" s="14" t="s">
        <v>2450</v>
      </c>
      <c r="E137" s="15" t="n">
        <v>5</v>
      </c>
      <c r="F137" s="15" t="s">
        <v>2736</v>
      </c>
      <c r="G137" s="14" t="s">
        <v>2479</v>
      </c>
      <c r="H137" s="16" t="s">
        <v>44</v>
      </c>
      <c r="I137" s="17"/>
      <c r="J137" s="17"/>
    </row>
    <row r="138" customFormat="false" ht="58.2" hidden="false" customHeight="false" outlineLevel="0" collapsed="false">
      <c r="A138" s="14" t="s">
        <v>2737</v>
      </c>
      <c r="B138" s="15" t="s">
        <v>2374</v>
      </c>
      <c r="C138" s="15" t="s">
        <v>2295</v>
      </c>
      <c r="D138" s="14" t="s">
        <v>2487</v>
      </c>
      <c r="E138" s="15" t="n">
        <v>2</v>
      </c>
      <c r="F138" s="15" t="s">
        <v>2738</v>
      </c>
      <c r="G138" s="15" t="s">
        <v>2739</v>
      </c>
      <c r="H138" s="16" t="s">
        <v>44</v>
      </c>
      <c r="I138" s="17"/>
      <c r="J138" s="17"/>
    </row>
    <row r="139" customFormat="false" ht="44" hidden="false" customHeight="false" outlineLevel="0" collapsed="false">
      <c r="A139" s="14" t="s">
        <v>2740</v>
      </c>
      <c r="B139" s="15" t="s">
        <v>2374</v>
      </c>
      <c r="C139" s="15" t="s">
        <v>2295</v>
      </c>
      <c r="D139" s="14" t="s">
        <v>2487</v>
      </c>
      <c r="E139" s="15" t="n">
        <v>3</v>
      </c>
      <c r="F139" s="14" t="s">
        <v>2741</v>
      </c>
      <c r="G139" s="15" t="s">
        <v>2489</v>
      </c>
      <c r="H139" s="16" t="s">
        <v>44</v>
      </c>
      <c r="I139" s="17"/>
      <c r="J139" s="17"/>
    </row>
    <row r="140" customFormat="false" ht="44" hidden="false" customHeight="false" outlineLevel="0" collapsed="false">
      <c r="A140" s="14" t="s">
        <v>2742</v>
      </c>
      <c r="B140" s="15" t="s">
        <v>2374</v>
      </c>
      <c r="C140" s="15" t="s">
        <v>2295</v>
      </c>
      <c r="D140" s="14" t="s">
        <v>2487</v>
      </c>
      <c r="E140" s="15" t="n">
        <v>4</v>
      </c>
      <c r="F140" s="15" t="s">
        <v>2743</v>
      </c>
      <c r="G140" s="15" t="s">
        <v>2489</v>
      </c>
      <c r="H140" s="16" t="s">
        <v>44</v>
      </c>
      <c r="I140" s="17"/>
      <c r="J140" s="17"/>
    </row>
    <row r="141" customFormat="false" ht="58.2" hidden="false" customHeight="false" outlineLevel="0" collapsed="false">
      <c r="A141" s="14" t="s">
        <v>2744</v>
      </c>
      <c r="B141" s="15" t="s">
        <v>2374</v>
      </c>
      <c r="C141" s="15" t="s">
        <v>2295</v>
      </c>
      <c r="D141" s="14" t="s">
        <v>2487</v>
      </c>
      <c r="E141" s="15" t="n">
        <v>5</v>
      </c>
      <c r="F141" s="15" t="s">
        <v>2745</v>
      </c>
      <c r="G141" s="15" t="s">
        <v>2489</v>
      </c>
      <c r="H141" s="16" t="s">
        <v>44</v>
      </c>
      <c r="I141" s="17"/>
      <c r="J141" s="17"/>
    </row>
    <row r="142" customFormat="false" ht="72.35" hidden="false" customHeight="false" outlineLevel="0" collapsed="false">
      <c r="A142" s="14" t="s">
        <v>2746</v>
      </c>
      <c r="B142" s="15" t="s">
        <v>2389</v>
      </c>
      <c r="C142" s="15" t="s">
        <v>2280</v>
      </c>
      <c r="D142" s="14" t="s">
        <v>2450</v>
      </c>
      <c r="E142" s="15" t="n">
        <v>2</v>
      </c>
      <c r="F142" s="15" t="s">
        <v>2747</v>
      </c>
      <c r="G142" s="14" t="s">
        <v>2748</v>
      </c>
      <c r="H142" s="16" t="s">
        <v>44</v>
      </c>
      <c r="I142" s="17"/>
      <c r="J142" s="17"/>
    </row>
    <row r="143" customFormat="false" ht="72.35" hidden="false" customHeight="false" outlineLevel="0" collapsed="false">
      <c r="A143" s="14" t="s">
        <v>2749</v>
      </c>
      <c r="B143" s="15" t="s">
        <v>2389</v>
      </c>
      <c r="C143" s="15" t="s">
        <v>2280</v>
      </c>
      <c r="D143" s="14" t="s">
        <v>2450</v>
      </c>
      <c r="E143" s="15" t="n">
        <v>3</v>
      </c>
      <c r="F143" s="14" t="s">
        <v>2750</v>
      </c>
      <c r="G143" s="14" t="s">
        <v>2452</v>
      </c>
      <c r="H143" s="16" t="s">
        <v>44</v>
      </c>
      <c r="I143" s="17"/>
      <c r="J143" s="17"/>
    </row>
    <row r="144" customFormat="false" ht="72.35" hidden="false" customHeight="false" outlineLevel="0" collapsed="false">
      <c r="A144" s="14" t="s">
        <v>2751</v>
      </c>
      <c r="B144" s="15" t="s">
        <v>2389</v>
      </c>
      <c r="C144" s="15" t="s">
        <v>2280</v>
      </c>
      <c r="D144" s="14" t="s">
        <v>2450</v>
      </c>
      <c r="E144" s="15" t="n">
        <v>4</v>
      </c>
      <c r="F144" s="15" t="s">
        <v>2752</v>
      </c>
      <c r="G144" s="14" t="s">
        <v>2452</v>
      </c>
      <c r="H144" s="16" t="s">
        <v>44</v>
      </c>
      <c r="I144" s="17"/>
      <c r="J144" s="17"/>
    </row>
    <row r="145" customFormat="false" ht="58.2" hidden="false" customHeight="false" outlineLevel="0" collapsed="false">
      <c r="A145" s="14" t="s">
        <v>2753</v>
      </c>
      <c r="B145" s="15" t="s">
        <v>2389</v>
      </c>
      <c r="C145" s="15" t="s">
        <v>2280</v>
      </c>
      <c r="D145" s="14" t="s">
        <v>2450</v>
      </c>
      <c r="E145" s="15" t="n">
        <v>5</v>
      </c>
      <c r="F145" s="15" t="s">
        <v>2754</v>
      </c>
      <c r="G145" s="14" t="s">
        <v>2452</v>
      </c>
      <c r="H145" s="16" t="s">
        <v>44</v>
      </c>
      <c r="I145" s="17"/>
      <c r="J145" s="17"/>
    </row>
    <row r="146" customFormat="false" ht="58.2" hidden="false" customHeight="false" outlineLevel="0" collapsed="false">
      <c r="A146" s="14" t="s">
        <v>2755</v>
      </c>
      <c r="B146" s="15" t="s">
        <v>2389</v>
      </c>
      <c r="C146" s="15" t="s">
        <v>2285</v>
      </c>
      <c r="D146" s="14" t="s">
        <v>2450</v>
      </c>
      <c r="E146" s="15" t="n">
        <v>2</v>
      </c>
      <c r="F146" s="15" t="s">
        <v>2756</v>
      </c>
      <c r="G146" s="15" t="s">
        <v>2757</v>
      </c>
      <c r="H146" s="16" t="s">
        <v>44</v>
      </c>
      <c r="I146" s="17"/>
      <c r="J146" s="17"/>
    </row>
    <row r="147" customFormat="false" ht="58.2" hidden="false" customHeight="false" outlineLevel="0" collapsed="false">
      <c r="A147" s="14" t="s">
        <v>2758</v>
      </c>
      <c r="B147" s="15" t="s">
        <v>2389</v>
      </c>
      <c r="C147" s="15" t="s">
        <v>2285</v>
      </c>
      <c r="D147" s="14" t="s">
        <v>2450</v>
      </c>
      <c r="E147" s="15" t="n">
        <v>3</v>
      </c>
      <c r="F147" s="15" t="s">
        <v>2759</v>
      </c>
      <c r="G147" s="15" t="s">
        <v>2461</v>
      </c>
      <c r="H147" s="16" t="s">
        <v>44</v>
      </c>
      <c r="I147" s="17"/>
      <c r="J147" s="17"/>
    </row>
    <row r="148" customFormat="false" ht="58.2" hidden="false" customHeight="false" outlineLevel="0" collapsed="false">
      <c r="A148" s="14" t="s">
        <v>2760</v>
      </c>
      <c r="B148" s="15" t="s">
        <v>2389</v>
      </c>
      <c r="C148" s="15" t="s">
        <v>2285</v>
      </c>
      <c r="D148" s="14" t="s">
        <v>2450</v>
      </c>
      <c r="E148" s="15" t="n">
        <v>4</v>
      </c>
      <c r="F148" s="15" t="s">
        <v>2761</v>
      </c>
      <c r="G148" s="15" t="s">
        <v>2461</v>
      </c>
      <c r="H148" s="16" t="s">
        <v>44</v>
      </c>
      <c r="I148" s="17"/>
      <c r="J148" s="17"/>
    </row>
    <row r="149" customFormat="false" ht="72.35" hidden="false" customHeight="false" outlineLevel="0" collapsed="false">
      <c r="A149" s="14" t="s">
        <v>2762</v>
      </c>
      <c r="B149" s="15" t="s">
        <v>2389</v>
      </c>
      <c r="C149" s="15" t="s">
        <v>2285</v>
      </c>
      <c r="D149" s="14" t="s">
        <v>2450</v>
      </c>
      <c r="E149" s="15" t="n">
        <v>5</v>
      </c>
      <c r="F149" s="15" t="s">
        <v>2763</v>
      </c>
      <c r="G149" s="15" t="s">
        <v>2461</v>
      </c>
      <c r="H149" s="16" t="s">
        <v>44</v>
      </c>
      <c r="I149" s="17"/>
      <c r="J149" s="17"/>
    </row>
    <row r="150" customFormat="false" ht="72.35" hidden="false" customHeight="false" outlineLevel="0" collapsed="false">
      <c r="A150" s="14" t="s">
        <v>2764</v>
      </c>
      <c r="B150" s="15" t="s">
        <v>2389</v>
      </c>
      <c r="C150" s="15" t="s">
        <v>2290</v>
      </c>
      <c r="D150" s="14" t="s">
        <v>2450</v>
      </c>
      <c r="E150" s="15" t="n">
        <v>2</v>
      </c>
      <c r="F150" s="15" t="s">
        <v>2765</v>
      </c>
      <c r="G150" s="14" t="s">
        <v>2766</v>
      </c>
      <c r="H150" s="16" t="s">
        <v>44</v>
      </c>
      <c r="I150" s="17"/>
      <c r="J150" s="17"/>
    </row>
    <row r="151" customFormat="false" ht="72.35" hidden="false" customHeight="false" outlineLevel="0" collapsed="false">
      <c r="A151" s="14" t="s">
        <v>2767</v>
      </c>
      <c r="B151" s="15" t="s">
        <v>2389</v>
      </c>
      <c r="C151" s="15" t="s">
        <v>2290</v>
      </c>
      <c r="D151" s="14" t="s">
        <v>2450</v>
      </c>
      <c r="E151" s="15" t="n">
        <v>3</v>
      </c>
      <c r="F151" s="14" t="s">
        <v>2768</v>
      </c>
      <c r="G151" s="14" t="s">
        <v>2470</v>
      </c>
      <c r="H151" s="16" t="s">
        <v>44</v>
      </c>
      <c r="I151" s="17"/>
      <c r="J151" s="17"/>
    </row>
    <row r="152" customFormat="false" ht="72.35" hidden="false" customHeight="false" outlineLevel="0" collapsed="false">
      <c r="A152" s="14" t="s">
        <v>2769</v>
      </c>
      <c r="B152" s="15" t="s">
        <v>2389</v>
      </c>
      <c r="C152" s="15" t="s">
        <v>2290</v>
      </c>
      <c r="D152" s="14" t="s">
        <v>2450</v>
      </c>
      <c r="E152" s="15" t="n">
        <v>4</v>
      </c>
      <c r="F152" s="15" t="s">
        <v>2770</v>
      </c>
      <c r="G152" s="14" t="s">
        <v>2470</v>
      </c>
      <c r="H152" s="16" t="s">
        <v>44</v>
      </c>
      <c r="I152" s="17"/>
      <c r="J152" s="17"/>
    </row>
    <row r="153" customFormat="false" ht="72.35" hidden="false" customHeight="false" outlineLevel="0" collapsed="false">
      <c r="A153" s="14" t="s">
        <v>2771</v>
      </c>
      <c r="B153" s="15" t="s">
        <v>2389</v>
      </c>
      <c r="C153" s="15" t="s">
        <v>2290</v>
      </c>
      <c r="D153" s="14" t="s">
        <v>2450</v>
      </c>
      <c r="E153" s="15" t="n">
        <v>5</v>
      </c>
      <c r="F153" s="15" t="s">
        <v>2772</v>
      </c>
      <c r="G153" s="14" t="s">
        <v>2470</v>
      </c>
      <c r="H153" s="16" t="s">
        <v>44</v>
      </c>
      <c r="I153" s="17"/>
      <c r="J153" s="17"/>
    </row>
    <row r="154" customFormat="false" ht="58.2" hidden="false" customHeight="false" outlineLevel="0" collapsed="false">
      <c r="A154" s="14" t="s">
        <v>2773</v>
      </c>
      <c r="B154" s="15" t="s">
        <v>2389</v>
      </c>
      <c r="C154" s="15" t="s">
        <v>2295</v>
      </c>
      <c r="D154" s="14" t="s">
        <v>2450</v>
      </c>
      <c r="E154" s="15" t="n">
        <v>2</v>
      </c>
      <c r="F154" s="15" t="s">
        <v>2774</v>
      </c>
      <c r="G154" s="14" t="s">
        <v>2775</v>
      </c>
      <c r="H154" s="16" t="s">
        <v>44</v>
      </c>
      <c r="I154" s="17"/>
      <c r="J154" s="17"/>
    </row>
    <row r="155" customFormat="false" ht="58.2" hidden="false" customHeight="false" outlineLevel="0" collapsed="false">
      <c r="A155" s="14" t="s">
        <v>2776</v>
      </c>
      <c r="B155" s="15" t="s">
        <v>2389</v>
      </c>
      <c r="C155" s="15" t="s">
        <v>2295</v>
      </c>
      <c r="D155" s="14" t="s">
        <v>2450</v>
      </c>
      <c r="E155" s="15" t="n">
        <v>3</v>
      </c>
      <c r="F155" s="14" t="s">
        <v>2777</v>
      </c>
      <c r="G155" s="14" t="s">
        <v>2479</v>
      </c>
      <c r="H155" s="16" t="s">
        <v>44</v>
      </c>
      <c r="I155" s="17"/>
      <c r="J155" s="17"/>
    </row>
    <row r="156" customFormat="false" ht="58.2" hidden="false" customHeight="false" outlineLevel="0" collapsed="false">
      <c r="A156" s="14" t="s">
        <v>2778</v>
      </c>
      <c r="B156" s="15" t="s">
        <v>2389</v>
      </c>
      <c r="C156" s="15" t="s">
        <v>2295</v>
      </c>
      <c r="D156" s="14" t="s">
        <v>2450</v>
      </c>
      <c r="E156" s="15" t="n">
        <v>4</v>
      </c>
      <c r="F156" s="14" t="s">
        <v>2779</v>
      </c>
      <c r="G156" s="14" t="s">
        <v>2479</v>
      </c>
      <c r="H156" s="16" t="s">
        <v>44</v>
      </c>
      <c r="I156" s="17"/>
      <c r="J156" s="17"/>
    </row>
    <row r="157" customFormat="false" ht="58.2" hidden="false" customHeight="false" outlineLevel="0" collapsed="false">
      <c r="A157" s="14" t="s">
        <v>2780</v>
      </c>
      <c r="B157" s="15" t="s">
        <v>2389</v>
      </c>
      <c r="C157" s="15" t="s">
        <v>2295</v>
      </c>
      <c r="D157" s="14" t="s">
        <v>2450</v>
      </c>
      <c r="E157" s="15" t="n">
        <v>5</v>
      </c>
      <c r="F157" s="15" t="s">
        <v>2781</v>
      </c>
      <c r="G157" s="14" t="s">
        <v>2479</v>
      </c>
      <c r="H157" s="16" t="s">
        <v>44</v>
      </c>
      <c r="I157" s="17"/>
      <c r="J157" s="17"/>
    </row>
    <row r="158" customFormat="false" ht="58.2" hidden="false" customHeight="false" outlineLevel="0" collapsed="false">
      <c r="A158" s="14" t="s">
        <v>2782</v>
      </c>
      <c r="B158" s="15" t="s">
        <v>2389</v>
      </c>
      <c r="C158" s="15" t="s">
        <v>2295</v>
      </c>
      <c r="D158" s="14" t="s">
        <v>2487</v>
      </c>
      <c r="E158" s="15" t="n">
        <v>2</v>
      </c>
      <c r="F158" s="15" t="s">
        <v>2783</v>
      </c>
      <c r="G158" s="15" t="s">
        <v>2784</v>
      </c>
      <c r="H158" s="16" t="s">
        <v>44</v>
      </c>
      <c r="I158" s="17"/>
      <c r="J158" s="17"/>
    </row>
    <row r="159" customFormat="false" ht="44" hidden="false" customHeight="false" outlineLevel="0" collapsed="false">
      <c r="A159" s="14" t="s">
        <v>2785</v>
      </c>
      <c r="B159" s="15" t="s">
        <v>2389</v>
      </c>
      <c r="C159" s="15" t="s">
        <v>2295</v>
      </c>
      <c r="D159" s="14" t="s">
        <v>2487</v>
      </c>
      <c r="E159" s="15" t="n">
        <v>3</v>
      </c>
      <c r="F159" s="14" t="s">
        <v>2786</v>
      </c>
      <c r="G159" s="15" t="s">
        <v>2489</v>
      </c>
      <c r="H159" s="16" t="s">
        <v>44</v>
      </c>
      <c r="I159" s="17"/>
      <c r="J159" s="17"/>
    </row>
    <row r="160" customFormat="false" ht="44" hidden="false" customHeight="false" outlineLevel="0" collapsed="false">
      <c r="A160" s="14" t="s">
        <v>2787</v>
      </c>
      <c r="B160" s="15" t="s">
        <v>2389</v>
      </c>
      <c r="C160" s="15" t="s">
        <v>2295</v>
      </c>
      <c r="D160" s="14" t="s">
        <v>2487</v>
      </c>
      <c r="E160" s="15" t="n">
        <v>4</v>
      </c>
      <c r="F160" s="15" t="s">
        <v>2788</v>
      </c>
      <c r="G160" s="15" t="s">
        <v>2489</v>
      </c>
      <c r="H160" s="16" t="s">
        <v>44</v>
      </c>
      <c r="I160" s="17"/>
      <c r="J160" s="17"/>
    </row>
    <row r="161" customFormat="false" ht="58.2" hidden="false" customHeight="false" outlineLevel="0" collapsed="false">
      <c r="A161" s="14" t="s">
        <v>2789</v>
      </c>
      <c r="B161" s="15" t="s">
        <v>2389</v>
      </c>
      <c r="C161" s="15" t="s">
        <v>2295</v>
      </c>
      <c r="D161" s="14" t="s">
        <v>2487</v>
      </c>
      <c r="E161" s="15" t="n">
        <v>5</v>
      </c>
      <c r="F161" s="15" t="s">
        <v>2790</v>
      </c>
      <c r="G161" s="15" t="s">
        <v>2489</v>
      </c>
      <c r="H161" s="16" t="s">
        <v>44</v>
      </c>
      <c r="I161" s="17"/>
      <c r="J161" s="17"/>
    </row>
    <row r="162" customFormat="false" ht="72.35" hidden="false" customHeight="false" outlineLevel="0" collapsed="false">
      <c r="A162" s="14" t="s">
        <v>2791</v>
      </c>
      <c r="B162" s="15" t="s">
        <v>2405</v>
      </c>
      <c r="C162" s="15" t="s">
        <v>2280</v>
      </c>
      <c r="D162" s="14" t="s">
        <v>2450</v>
      </c>
      <c r="E162" s="15" t="n">
        <v>2</v>
      </c>
      <c r="F162" s="15" t="s">
        <v>2792</v>
      </c>
      <c r="G162" s="14" t="s">
        <v>2452</v>
      </c>
      <c r="H162" s="16" t="s">
        <v>44</v>
      </c>
      <c r="I162" s="17"/>
      <c r="J162" s="17"/>
    </row>
    <row r="163" customFormat="false" ht="72.35" hidden="false" customHeight="false" outlineLevel="0" collapsed="false">
      <c r="A163" s="14" t="s">
        <v>2793</v>
      </c>
      <c r="B163" s="15" t="s">
        <v>2405</v>
      </c>
      <c r="C163" s="15" t="s">
        <v>2280</v>
      </c>
      <c r="D163" s="14" t="s">
        <v>2450</v>
      </c>
      <c r="E163" s="15" t="n">
        <v>3</v>
      </c>
      <c r="F163" s="14" t="s">
        <v>2794</v>
      </c>
      <c r="G163" s="14" t="s">
        <v>2452</v>
      </c>
      <c r="H163" s="16" t="s">
        <v>44</v>
      </c>
      <c r="I163" s="17"/>
      <c r="J163" s="17"/>
    </row>
    <row r="164" customFormat="false" ht="58.2" hidden="false" customHeight="false" outlineLevel="0" collapsed="false">
      <c r="A164" s="14" t="s">
        <v>2795</v>
      </c>
      <c r="B164" s="15" t="s">
        <v>2405</v>
      </c>
      <c r="C164" s="15" t="s">
        <v>2280</v>
      </c>
      <c r="D164" s="14" t="s">
        <v>2450</v>
      </c>
      <c r="E164" s="15" t="n">
        <v>4</v>
      </c>
      <c r="F164" s="15" t="s">
        <v>2796</v>
      </c>
      <c r="G164" s="14" t="s">
        <v>2452</v>
      </c>
      <c r="H164" s="16" t="s">
        <v>44</v>
      </c>
      <c r="I164" s="17"/>
      <c r="J164" s="17"/>
    </row>
    <row r="165" customFormat="false" ht="58.2" hidden="false" customHeight="false" outlineLevel="0" collapsed="false">
      <c r="A165" s="14" t="s">
        <v>2797</v>
      </c>
      <c r="B165" s="15" t="s">
        <v>2405</v>
      </c>
      <c r="C165" s="15" t="s">
        <v>2280</v>
      </c>
      <c r="D165" s="14" t="s">
        <v>2450</v>
      </c>
      <c r="E165" s="15" t="n">
        <v>5</v>
      </c>
      <c r="F165" s="15" t="s">
        <v>2798</v>
      </c>
      <c r="G165" s="14" t="s">
        <v>2452</v>
      </c>
      <c r="H165" s="16" t="s">
        <v>44</v>
      </c>
      <c r="I165" s="17"/>
      <c r="J165" s="17"/>
    </row>
    <row r="166" customFormat="false" ht="58.2" hidden="false" customHeight="false" outlineLevel="0" collapsed="false">
      <c r="A166" s="14" t="s">
        <v>2799</v>
      </c>
      <c r="B166" s="15" t="s">
        <v>2405</v>
      </c>
      <c r="C166" s="15" t="s">
        <v>2285</v>
      </c>
      <c r="D166" s="14" t="s">
        <v>2450</v>
      </c>
      <c r="E166" s="15" t="n">
        <v>2</v>
      </c>
      <c r="F166" s="15" t="s">
        <v>2800</v>
      </c>
      <c r="G166" s="15" t="s">
        <v>2461</v>
      </c>
      <c r="H166" s="16" t="s">
        <v>44</v>
      </c>
      <c r="I166" s="17"/>
      <c r="J166" s="17"/>
    </row>
    <row r="167" customFormat="false" ht="58.2" hidden="false" customHeight="false" outlineLevel="0" collapsed="false">
      <c r="A167" s="14" t="s">
        <v>2801</v>
      </c>
      <c r="B167" s="15" t="s">
        <v>2405</v>
      </c>
      <c r="C167" s="15" t="s">
        <v>2285</v>
      </c>
      <c r="D167" s="14" t="s">
        <v>2450</v>
      </c>
      <c r="E167" s="15" t="n">
        <v>3</v>
      </c>
      <c r="F167" s="15" t="s">
        <v>2802</v>
      </c>
      <c r="G167" s="15" t="s">
        <v>2461</v>
      </c>
      <c r="H167" s="16" t="s">
        <v>44</v>
      </c>
      <c r="I167" s="17"/>
      <c r="J167" s="17"/>
    </row>
    <row r="168" customFormat="false" ht="58.2" hidden="false" customHeight="false" outlineLevel="0" collapsed="false">
      <c r="A168" s="14" t="s">
        <v>2803</v>
      </c>
      <c r="B168" s="15" t="s">
        <v>2405</v>
      </c>
      <c r="C168" s="15" t="s">
        <v>2285</v>
      </c>
      <c r="D168" s="14" t="s">
        <v>2450</v>
      </c>
      <c r="E168" s="15" t="n">
        <v>4</v>
      </c>
      <c r="F168" s="15" t="s">
        <v>2804</v>
      </c>
      <c r="G168" s="15" t="s">
        <v>2461</v>
      </c>
      <c r="H168" s="16" t="s">
        <v>44</v>
      </c>
      <c r="I168" s="17"/>
      <c r="J168" s="17"/>
    </row>
    <row r="169" customFormat="false" ht="58.2" hidden="false" customHeight="false" outlineLevel="0" collapsed="false">
      <c r="A169" s="14" t="s">
        <v>2805</v>
      </c>
      <c r="B169" s="15" t="s">
        <v>2405</v>
      </c>
      <c r="C169" s="15" t="s">
        <v>2285</v>
      </c>
      <c r="D169" s="14" t="s">
        <v>2450</v>
      </c>
      <c r="E169" s="15" t="n">
        <v>5</v>
      </c>
      <c r="F169" s="15" t="s">
        <v>2806</v>
      </c>
      <c r="G169" s="15" t="s">
        <v>2461</v>
      </c>
      <c r="H169" s="16" t="s">
        <v>44</v>
      </c>
      <c r="I169" s="17"/>
      <c r="J169" s="17"/>
    </row>
    <row r="170" customFormat="false" ht="86.55" hidden="false" customHeight="false" outlineLevel="0" collapsed="false">
      <c r="A170" s="14" t="s">
        <v>2807</v>
      </c>
      <c r="B170" s="15" t="s">
        <v>2405</v>
      </c>
      <c r="C170" s="15" t="s">
        <v>2290</v>
      </c>
      <c r="D170" s="14" t="s">
        <v>2450</v>
      </c>
      <c r="E170" s="15" t="n">
        <v>2</v>
      </c>
      <c r="F170" s="15" t="s">
        <v>2808</v>
      </c>
      <c r="G170" s="14" t="s">
        <v>2470</v>
      </c>
      <c r="H170" s="16" t="s">
        <v>44</v>
      </c>
      <c r="I170" s="17"/>
      <c r="J170" s="17"/>
    </row>
    <row r="171" customFormat="false" ht="72.35" hidden="false" customHeight="false" outlineLevel="0" collapsed="false">
      <c r="A171" s="14" t="s">
        <v>2809</v>
      </c>
      <c r="B171" s="15" t="s">
        <v>2405</v>
      </c>
      <c r="C171" s="15" t="s">
        <v>2290</v>
      </c>
      <c r="D171" s="14" t="s">
        <v>2450</v>
      </c>
      <c r="E171" s="15" t="n">
        <v>3</v>
      </c>
      <c r="F171" s="14" t="s">
        <v>2810</v>
      </c>
      <c r="G171" s="14" t="s">
        <v>2470</v>
      </c>
      <c r="H171" s="16" t="s">
        <v>44</v>
      </c>
      <c r="I171" s="17"/>
      <c r="J171" s="17"/>
    </row>
    <row r="172" customFormat="false" ht="72.35" hidden="false" customHeight="false" outlineLevel="0" collapsed="false">
      <c r="A172" s="14" t="s">
        <v>2811</v>
      </c>
      <c r="B172" s="15" t="s">
        <v>2405</v>
      </c>
      <c r="C172" s="15" t="s">
        <v>2290</v>
      </c>
      <c r="D172" s="14" t="s">
        <v>2450</v>
      </c>
      <c r="E172" s="15" t="n">
        <v>4</v>
      </c>
      <c r="F172" s="15" t="s">
        <v>2812</v>
      </c>
      <c r="G172" s="14" t="s">
        <v>2470</v>
      </c>
      <c r="H172" s="16" t="s">
        <v>44</v>
      </c>
      <c r="I172" s="17"/>
      <c r="J172" s="17"/>
    </row>
    <row r="173" customFormat="false" ht="72.35" hidden="false" customHeight="false" outlineLevel="0" collapsed="false">
      <c r="A173" s="14" t="s">
        <v>2813</v>
      </c>
      <c r="B173" s="15" t="s">
        <v>2405</v>
      </c>
      <c r="C173" s="15" t="s">
        <v>2290</v>
      </c>
      <c r="D173" s="14" t="s">
        <v>2450</v>
      </c>
      <c r="E173" s="15" t="n">
        <v>5</v>
      </c>
      <c r="F173" s="15" t="s">
        <v>2814</v>
      </c>
      <c r="G173" s="14" t="s">
        <v>2470</v>
      </c>
      <c r="H173" s="16" t="s">
        <v>44</v>
      </c>
      <c r="I173" s="17"/>
      <c r="J173" s="17"/>
    </row>
    <row r="174" customFormat="false" ht="58.2" hidden="false" customHeight="false" outlineLevel="0" collapsed="false">
      <c r="A174" s="14" t="s">
        <v>2815</v>
      </c>
      <c r="B174" s="15" t="s">
        <v>2405</v>
      </c>
      <c r="C174" s="15" t="s">
        <v>2295</v>
      </c>
      <c r="D174" s="14" t="s">
        <v>2450</v>
      </c>
      <c r="E174" s="15" t="n">
        <v>2</v>
      </c>
      <c r="F174" s="15" t="s">
        <v>2816</v>
      </c>
      <c r="G174" s="14" t="s">
        <v>2479</v>
      </c>
      <c r="H174" s="16" t="s">
        <v>44</v>
      </c>
      <c r="I174" s="17"/>
      <c r="J174" s="17"/>
    </row>
    <row r="175" customFormat="false" ht="58.2" hidden="false" customHeight="false" outlineLevel="0" collapsed="false">
      <c r="A175" s="14" t="s">
        <v>2817</v>
      </c>
      <c r="B175" s="15" t="s">
        <v>2405</v>
      </c>
      <c r="C175" s="15" t="s">
        <v>2295</v>
      </c>
      <c r="D175" s="14" t="s">
        <v>2450</v>
      </c>
      <c r="E175" s="15" t="n">
        <v>3</v>
      </c>
      <c r="F175" s="14" t="s">
        <v>2818</v>
      </c>
      <c r="G175" s="14" t="s">
        <v>2479</v>
      </c>
      <c r="H175" s="16" t="s">
        <v>44</v>
      </c>
      <c r="I175" s="17"/>
      <c r="J175" s="17"/>
    </row>
    <row r="176" customFormat="false" ht="58.2" hidden="false" customHeight="false" outlineLevel="0" collapsed="false">
      <c r="A176" s="14" t="s">
        <v>2819</v>
      </c>
      <c r="B176" s="15" t="s">
        <v>2405</v>
      </c>
      <c r="C176" s="15" t="s">
        <v>2295</v>
      </c>
      <c r="D176" s="14" t="s">
        <v>2450</v>
      </c>
      <c r="E176" s="15" t="n">
        <v>4</v>
      </c>
      <c r="F176" s="14" t="s">
        <v>2820</v>
      </c>
      <c r="G176" s="14" t="s">
        <v>2479</v>
      </c>
      <c r="H176" s="16" t="s">
        <v>44</v>
      </c>
      <c r="I176" s="17"/>
      <c r="J176" s="17"/>
    </row>
    <row r="177" customFormat="false" ht="58.2" hidden="false" customHeight="false" outlineLevel="0" collapsed="false">
      <c r="A177" s="14" t="s">
        <v>2821</v>
      </c>
      <c r="B177" s="15" t="s">
        <v>2405</v>
      </c>
      <c r="C177" s="15" t="s">
        <v>2295</v>
      </c>
      <c r="D177" s="14" t="s">
        <v>2450</v>
      </c>
      <c r="E177" s="15" t="n">
        <v>5</v>
      </c>
      <c r="F177" s="15" t="s">
        <v>2822</v>
      </c>
      <c r="G177" s="14" t="s">
        <v>2479</v>
      </c>
      <c r="H177" s="16" t="s">
        <v>44</v>
      </c>
      <c r="I177" s="17"/>
      <c r="J177" s="17"/>
    </row>
    <row r="178" customFormat="false" ht="58.2" hidden="false" customHeight="false" outlineLevel="0" collapsed="false">
      <c r="A178" s="14" t="s">
        <v>2823</v>
      </c>
      <c r="B178" s="15" t="s">
        <v>2405</v>
      </c>
      <c r="C178" s="15" t="s">
        <v>2295</v>
      </c>
      <c r="D178" s="14" t="s">
        <v>2487</v>
      </c>
      <c r="E178" s="15" t="n">
        <v>2</v>
      </c>
      <c r="F178" s="15" t="s">
        <v>2824</v>
      </c>
      <c r="G178" s="15" t="s">
        <v>2489</v>
      </c>
      <c r="H178" s="16" t="s">
        <v>44</v>
      </c>
      <c r="I178" s="17"/>
      <c r="J178" s="17"/>
    </row>
    <row r="179" customFormat="false" ht="44" hidden="false" customHeight="false" outlineLevel="0" collapsed="false">
      <c r="A179" s="14" t="s">
        <v>2825</v>
      </c>
      <c r="B179" s="15" t="s">
        <v>2405</v>
      </c>
      <c r="C179" s="15" t="s">
        <v>2295</v>
      </c>
      <c r="D179" s="14" t="s">
        <v>2487</v>
      </c>
      <c r="E179" s="15" t="n">
        <v>3</v>
      </c>
      <c r="F179" s="14" t="s">
        <v>2826</v>
      </c>
      <c r="G179" s="15" t="s">
        <v>2489</v>
      </c>
      <c r="H179" s="16" t="s">
        <v>44</v>
      </c>
      <c r="I179" s="17"/>
      <c r="J179" s="17"/>
    </row>
    <row r="180" customFormat="false" ht="44" hidden="false" customHeight="false" outlineLevel="0" collapsed="false">
      <c r="A180" s="14" t="s">
        <v>2827</v>
      </c>
      <c r="B180" s="15" t="s">
        <v>2405</v>
      </c>
      <c r="C180" s="15" t="s">
        <v>2295</v>
      </c>
      <c r="D180" s="14" t="s">
        <v>2487</v>
      </c>
      <c r="E180" s="15" t="n">
        <v>4</v>
      </c>
      <c r="F180" s="15" t="s">
        <v>2828</v>
      </c>
      <c r="G180" s="15" t="s">
        <v>2489</v>
      </c>
      <c r="H180" s="16" t="s">
        <v>44</v>
      </c>
      <c r="I180" s="17"/>
      <c r="J180" s="17"/>
    </row>
    <row r="181" customFormat="false" ht="58.2" hidden="false" customHeight="false" outlineLevel="0" collapsed="false">
      <c r="A181" s="14" t="s">
        <v>2829</v>
      </c>
      <c r="B181" s="15" t="s">
        <v>2405</v>
      </c>
      <c r="C181" s="15" t="s">
        <v>2295</v>
      </c>
      <c r="D181" s="14" t="s">
        <v>2487</v>
      </c>
      <c r="E181" s="15" t="n">
        <v>5</v>
      </c>
      <c r="F181" s="15" t="s">
        <v>2830</v>
      </c>
      <c r="G181" s="15" t="s">
        <v>2489</v>
      </c>
      <c r="H181" s="16" t="s">
        <v>44</v>
      </c>
      <c r="I181" s="17"/>
      <c r="J181" s="17"/>
    </row>
    <row r="182" customFormat="false" ht="72.35" hidden="false" customHeight="false" outlineLevel="0" collapsed="false">
      <c r="A182" s="14" t="s">
        <v>2831</v>
      </c>
      <c r="B182" s="15" t="s">
        <v>2419</v>
      </c>
      <c r="C182" s="15" t="s">
        <v>2280</v>
      </c>
      <c r="D182" s="14" t="s">
        <v>2450</v>
      </c>
      <c r="E182" s="15" t="n">
        <v>2</v>
      </c>
      <c r="F182" s="15" t="s">
        <v>2832</v>
      </c>
      <c r="G182" s="14" t="s">
        <v>2452</v>
      </c>
      <c r="H182" s="16" t="s">
        <v>44</v>
      </c>
      <c r="I182" s="17"/>
      <c r="J182" s="17"/>
    </row>
    <row r="183" customFormat="false" ht="72.35" hidden="false" customHeight="false" outlineLevel="0" collapsed="false">
      <c r="A183" s="14" t="s">
        <v>2833</v>
      </c>
      <c r="B183" s="15" t="s">
        <v>2419</v>
      </c>
      <c r="C183" s="15" t="s">
        <v>2280</v>
      </c>
      <c r="D183" s="14" t="s">
        <v>2450</v>
      </c>
      <c r="E183" s="15" t="n">
        <v>3</v>
      </c>
      <c r="F183" s="14" t="s">
        <v>2834</v>
      </c>
      <c r="G183" s="14" t="s">
        <v>2452</v>
      </c>
      <c r="H183" s="16" t="s">
        <v>44</v>
      </c>
      <c r="I183" s="17"/>
      <c r="J183" s="17"/>
    </row>
    <row r="184" customFormat="false" ht="58.2" hidden="false" customHeight="false" outlineLevel="0" collapsed="false">
      <c r="A184" s="14" t="s">
        <v>2835</v>
      </c>
      <c r="B184" s="15" t="s">
        <v>2419</v>
      </c>
      <c r="C184" s="15" t="s">
        <v>2280</v>
      </c>
      <c r="D184" s="14" t="s">
        <v>2450</v>
      </c>
      <c r="E184" s="15" t="n">
        <v>4</v>
      </c>
      <c r="F184" s="15" t="s">
        <v>2836</v>
      </c>
      <c r="G184" s="14" t="s">
        <v>2452</v>
      </c>
      <c r="H184" s="16" t="s">
        <v>44</v>
      </c>
      <c r="I184" s="17"/>
      <c r="J184" s="17"/>
    </row>
    <row r="185" customFormat="false" ht="72.35" hidden="false" customHeight="false" outlineLevel="0" collapsed="false">
      <c r="A185" s="14" t="s">
        <v>2837</v>
      </c>
      <c r="B185" s="15" t="s">
        <v>2419</v>
      </c>
      <c r="C185" s="15" t="s">
        <v>2280</v>
      </c>
      <c r="D185" s="14" t="s">
        <v>2450</v>
      </c>
      <c r="E185" s="15" t="n">
        <v>5</v>
      </c>
      <c r="F185" s="15" t="s">
        <v>2838</v>
      </c>
      <c r="G185" s="14" t="s">
        <v>2452</v>
      </c>
      <c r="H185" s="16" t="s">
        <v>44</v>
      </c>
      <c r="I185" s="17"/>
      <c r="J185" s="17"/>
    </row>
    <row r="186" customFormat="false" ht="58.2" hidden="false" customHeight="false" outlineLevel="0" collapsed="false">
      <c r="A186" s="14" t="s">
        <v>2839</v>
      </c>
      <c r="B186" s="15" t="s">
        <v>2419</v>
      </c>
      <c r="C186" s="15" t="s">
        <v>2285</v>
      </c>
      <c r="D186" s="14" t="s">
        <v>2450</v>
      </c>
      <c r="E186" s="15" t="n">
        <v>2</v>
      </c>
      <c r="F186" s="15" t="s">
        <v>2840</v>
      </c>
      <c r="G186" s="15" t="s">
        <v>2461</v>
      </c>
      <c r="H186" s="16" t="s">
        <v>44</v>
      </c>
      <c r="I186" s="17"/>
      <c r="J186" s="17"/>
    </row>
    <row r="187" customFormat="false" ht="58.2" hidden="false" customHeight="false" outlineLevel="0" collapsed="false">
      <c r="A187" s="14" t="s">
        <v>2841</v>
      </c>
      <c r="B187" s="15" t="s">
        <v>2419</v>
      </c>
      <c r="C187" s="15" t="s">
        <v>2285</v>
      </c>
      <c r="D187" s="14" t="s">
        <v>2450</v>
      </c>
      <c r="E187" s="15" t="n">
        <v>3</v>
      </c>
      <c r="F187" s="15" t="s">
        <v>2842</v>
      </c>
      <c r="G187" s="15" t="s">
        <v>2461</v>
      </c>
      <c r="H187" s="16" t="s">
        <v>44</v>
      </c>
      <c r="I187" s="17"/>
      <c r="J187" s="17"/>
    </row>
    <row r="188" customFormat="false" ht="58.2" hidden="false" customHeight="false" outlineLevel="0" collapsed="false">
      <c r="A188" s="14" t="s">
        <v>2843</v>
      </c>
      <c r="B188" s="15" t="s">
        <v>2419</v>
      </c>
      <c r="C188" s="15" t="s">
        <v>2285</v>
      </c>
      <c r="D188" s="14" t="s">
        <v>2450</v>
      </c>
      <c r="E188" s="15" t="n">
        <v>4</v>
      </c>
      <c r="F188" s="15" t="s">
        <v>2844</v>
      </c>
      <c r="G188" s="15" t="s">
        <v>2461</v>
      </c>
      <c r="H188" s="16" t="s">
        <v>44</v>
      </c>
      <c r="I188" s="17"/>
      <c r="J188" s="17"/>
    </row>
    <row r="189" customFormat="false" ht="72.35" hidden="false" customHeight="false" outlineLevel="0" collapsed="false">
      <c r="A189" s="14" t="s">
        <v>2845</v>
      </c>
      <c r="B189" s="15" t="s">
        <v>2419</v>
      </c>
      <c r="C189" s="15" t="s">
        <v>2285</v>
      </c>
      <c r="D189" s="14" t="s">
        <v>2450</v>
      </c>
      <c r="E189" s="15" t="n">
        <v>5</v>
      </c>
      <c r="F189" s="15" t="s">
        <v>2846</v>
      </c>
      <c r="G189" s="15" t="s">
        <v>2461</v>
      </c>
      <c r="H189" s="16" t="s">
        <v>44</v>
      </c>
      <c r="I189" s="17"/>
      <c r="J189" s="17"/>
    </row>
    <row r="190" customFormat="false" ht="72.35" hidden="false" customHeight="false" outlineLevel="0" collapsed="false">
      <c r="A190" s="14" t="s">
        <v>2847</v>
      </c>
      <c r="B190" s="15" t="s">
        <v>2419</v>
      </c>
      <c r="C190" s="15" t="s">
        <v>2290</v>
      </c>
      <c r="D190" s="14" t="s">
        <v>2450</v>
      </c>
      <c r="E190" s="15" t="n">
        <v>2</v>
      </c>
      <c r="F190" s="15" t="s">
        <v>2848</v>
      </c>
      <c r="G190" s="14" t="s">
        <v>2470</v>
      </c>
      <c r="H190" s="16" t="s">
        <v>44</v>
      </c>
      <c r="I190" s="17"/>
      <c r="J190" s="17"/>
    </row>
    <row r="191" customFormat="false" ht="72.35" hidden="false" customHeight="false" outlineLevel="0" collapsed="false">
      <c r="A191" s="14" t="s">
        <v>2849</v>
      </c>
      <c r="B191" s="15" t="s">
        <v>2419</v>
      </c>
      <c r="C191" s="15" t="s">
        <v>2290</v>
      </c>
      <c r="D191" s="14" t="s">
        <v>2450</v>
      </c>
      <c r="E191" s="15" t="n">
        <v>3</v>
      </c>
      <c r="F191" s="14" t="s">
        <v>2850</v>
      </c>
      <c r="G191" s="14" t="s">
        <v>2470</v>
      </c>
      <c r="H191" s="16" t="s">
        <v>44</v>
      </c>
      <c r="I191" s="17"/>
      <c r="J191" s="17"/>
    </row>
    <row r="192" customFormat="false" ht="72.35" hidden="false" customHeight="false" outlineLevel="0" collapsed="false">
      <c r="A192" s="14" t="s">
        <v>2851</v>
      </c>
      <c r="B192" s="15" t="s">
        <v>2419</v>
      </c>
      <c r="C192" s="15" t="s">
        <v>2290</v>
      </c>
      <c r="D192" s="14" t="s">
        <v>2450</v>
      </c>
      <c r="E192" s="15" t="n">
        <v>4</v>
      </c>
      <c r="F192" s="15" t="s">
        <v>2852</v>
      </c>
      <c r="G192" s="14" t="s">
        <v>2470</v>
      </c>
      <c r="H192" s="16" t="s">
        <v>44</v>
      </c>
      <c r="I192" s="17"/>
      <c r="J192" s="17"/>
    </row>
    <row r="193" customFormat="false" ht="72.35" hidden="false" customHeight="false" outlineLevel="0" collapsed="false">
      <c r="A193" s="14" t="s">
        <v>2853</v>
      </c>
      <c r="B193" s="15" t="s">
        <v>2419</v>
      </c>
      <c r="C193" s="15" t="s">
        <v>2290</v>
      </c>
      <c r="D193" s="14" t="s">
        <v>2450</v>
      </c>
      <c r="E193" s="15" t="n">
        <v>5</v>
      </c>
      <c r="F193" s="15" t="s">
        <v>2854</v>
      </c>
      <c r="G193" s="14" t="s">
        <v>2470</v>
      </c>
      <c r="H193" s="16" t="s">
        <v>44</v>
      </c>
      <c r="I193" s="17"/>
      <c r="J193" s="17"/>
    </row>
    <row r="194" customFormat="false" ht="58.2" hidden="false" customHeight="false" outlineLevel="0" collapsed="false">
      <c r="A194" s="14" t="s">
        <v>2855</v>
      </c>
      <c r="B194" s="15" t="s">
        <v>2419</v>
      </c>
      <c r="C194" s="15" t="s">
        <v>2295</v>
      </c>
      <c r="D194" s="14" t="s">
        <v>2450</v>
      </c>
      <c r="E194" s="15" t="n">
        <v>2</v>
      </c>
      <c r="F194" s="15" t="s">
        <v>2856</v>
      </c>
      <c r="G194" s="14" t="s">
        <v>2479</v>
      </c>
      <c r="H194" s="16" t="s">
        <v>44</v>
      </c>
      <c r="I194" s="17"/>
      <c r="J194" s="17"/>
    </row>
    <row r="195" customFormat="false" ht="58.2" hidden="false" customHeight="false" outlineLevel="0" collapsed="false">
      <c r="A195" s="14" t="s">
        <v>2857</v>
      </c>
      <c r="B195" s="15" t="s">
        <v>2419</v>
      </c>
      <c r="C195" s="15" t="s">
        <v>2295</v>
      </c>
      <c r="D195" s="14" t="s">
        <v>2450</v>
      </c>
      <c r="E195" s="15" t="n">
        <v>3</v>
      </c>
      <c r="F195" s="14" t="s">
        <v>2858</v>
      </c>
      <c r="G195" s="14" t="s">
        <v>2479</v>
      </c>
      <c r="H195" s="16" t="s">
        <v>44</v>
      </c>
      <c r="I195" s="17"/>
      <c r="J195" s="17"/>
    </row>
    <row r="196" customFormat="false" ht="58.2" hidden="false" customHeight="false" outlineLevel="0" collapsed="false">
      <c r="A196" s="14" t="s">
        <v>2859</v>
      </c>
      <c r="B196" s="15" t="s">
        <v>2419</v>
      </c>
      <c r="C196" s="15" t="s">
        <v>2295</v>
      </c>
      <c r="D196" s="14" t="s">
        <v>2450</v>
      </c>
      <c r="E196" s="15" t="n">
        <v>4</v>
      </c>
      <c r="F196" s="14" t="s">
        <v>2860</v>
      </c>
      <c r="G196" s="14" t="s">
        <v>2479</v>
      </c>
      <c r="H196" s="16" t="s">
        <v>44</v>
      </c>
      <c r="I196" s="17"/>
      <c r="J196" s="17"/>
    </row>
    <row r="197" customFormat="false" ht="58.2" hidden="false" customHeight="false" outlineLevel="0" collapsed="false">
      <c r="A197" s="14" t="s">
        <v>2861</v>
      </c>
      <c r="B197" s="15" t="s">
        <v>2419</v>
      </c>
      <c r="C197" s="15" t="s">
        <v>2295</v>
      </c>
      <c r="D197" s="14" t="s">
        <v>2450</v>
      </c>
      <c r="E197" s="15" t="n">
        <v>5</v>
      </c>
      <c r="F197" s="15" t="s">
        <v>2862</v>
      </c>
      <c r="G197" s="14" t="s">
        <v>2479</v>
      </c>
      <c r="H197" s="16" t="s">
        <v>44</v>
      </c>
      <c r="I197" s="17"/>
      <c r="J197" s="17"/>
    </row>
    <row r="198" customFormat="false" ht="58.2" hidden="false" customHeight="false" outlineLevel="0" collapsed="false">
      <c r="A198" s="14" t="s">
        <v>2863</v>
      </c>
      <c r="B198" s="15" t="s">
        <v>2419</v>
      </c>
      <c r="C198" s="15" t="s">
        <v>2295</v>
      </c>
      <c r="D198" s="14" t="s">
        <v>2487</v>
      </c>
      <c r="E198" s="15" t="n">
        <v>2</v>
      </c>
      <c r="F198" s="15" t="s">
        <v>2864</v>
      </c>
      <c r="G198" s="15" t="s">
        <v>2489</v>
      </c>
      <c r="H198" s="16" t="s">
        <v>44</v>
      </c>
      <c r="I198" s="17"/>
      <c r="J198" s="17"/>
    </row>
    <row r="199" customFormat="false" ht="44" hidden="false" customHeight="false" outlineLevel="0" collapsed="false">
      <c r="A199" s="14" t="s">
        <v>2865</v>
      </c>
      <c r="B199" s="15" t="s">
        <v>2419</v>
      </c>
      <c r="C199" s="15" t="s">
        <v>2295</v>
      </c>
      <c r="D199" s="14" t="s">
        <v>2487</v>
      </c>
      <c r="E199" s="15" t="n">
        <v>3</v>
      </c>
      <c r="F199" s="14" t="s">
        <v>2866</v>
      </c>
      <c r="G199" s="15" t="s">
        <v>2489</v>
      </c>
      <c r="H199" s="16" t="s">
        <v>44</v>
      </c>
      <c r="I199" s="17"/>
      <c r="J199" s="17"/>
    </row>
    <row r="200" customFormat="false" ht="44" hidden="false" customHeight="false" outlineLevel="0" collapsed="false">
      <c r="A200" s="14" t="s">
        <v>2867</v>
      </c>
      <c r="B200" s="15" t="s">
        <v>2419</v>
      </c>
      <c r="C200" s="15" t="s">
        <v>2295</v>
      </c>
      <c r="D200" s="14" t="s">
        <v>2487</v>
      </c>
      <c r="E200" s="15" t="n">
        <v>4</v>
      </c>
      <c r="F200" s="15" t="s">
        <v>2868</v>
      </c>
      <c r="G200" s="15" t="s">
        <v>2489</v>
      </c>
      <c r="H200" s="16" t="s">
        <v>44</v>
      </c>
      <c r="I200" s="17"/>
      <c r="J200" s="17"/>
    </row>
    <row r="201" customFormat="false" ht="58.2" hidden="false" customHeight="false" outlineLevel="0" collapsed="false">
      <c r="A201" s="14" t="s">
        <v>2869</v>
      </c>
      <c r="B201" s="15" t="s">
        <v>2419</v>
      </c>
      <c r="C201" s="15" t="s">
        <v>2295</v>
      </c>
      <c r="D201" s="14" t="s">
        <v>2487</v>
      </c>
      <c r="E201" s="15" t="n">
        <v>5</v>
      </c>
      <c r="F201" s="15" t="s">
        <v>2870</v>
      </c>
      <c r="G201" s="15" t="s">
        <v>2489</v>
      </c>
      <c r="H201" s="16" t="s">
        <v>44</v>
      </c>
      <c r="I201" s="17"/>
      <c r="J201" s="17"/>
    </row>
    <row r="202" customFormat="false" ht="72.35" hidden="false" customHeight="false" outlineLevel="0" collapsed="false">
      <c r="A202" s="14" t="s">
        <v>2871</v>
      </c>
      <c r="B202" s="15" t="s">
        <v>2434</v>
      </c>
      <c r="C202" s="15" t="s">
        <v>2280</v>
      </c>
      <c r="D202" s="14" t="s">
        <v>2450</v>
      </c>
      <c r="E202" s="15" t="n">
        <v>2</v>
      </c>
      <c r="F202" s="15" t="s">
        <v>2872</v>
      </c>
      <c r="G202" s="14" t="s">
        <v>2452</v>
      </c>
      <c r="H202" s="16" t="s">
        <v>44</v>
      </c>
      <c r="I202" s="17"/>
      <c r="J202" s="17"/>
    </row>
    <row r="203" customFormat="false" ht="72.35" hidden="false" customHeight="false" outlineLevel="0" collapsed="false">
      <c r="A203" s="14" t="s">
        <v>2873</v>
      </c>
      <c r="B203" s="15" t="s">
        <v>2434</v>
      </c>
      <c r="C203" s="15" t="s">
        <v>2280</v>
      </c>
      <c r="D203" s="14" t="s">
        <v>2450</v>
      </c>
      <c r="E203" s="15" t="n">
        <v>3</v>
      </c>
      <c r="F203" s="14" t="s">
        <v>2874</v>
      </c>
      <c r="G203" s="14" t="s">
        <v>2452</v>
      </c>
      <c r="H203" s="16" t="s">
        <v>44</v>
      </c>
      <c r="I203" s="17"/>
      <c r="J203" s="17"/>
    </row>
    <row r="204" customFormat="false" ht="58.2" hidden="false" customHeight="false" outlineLevel="0" collapsed="false">
      <c r="A204" s="14" t="s">
        <v>2875</v>
      </c>
      <c r="B204" s="15" t="s">
        <v>2434</v>
      </c>
      <c r="C204" s="15" t="s">
        <v>2280</v>
      </c>
      <c r="D204" s="14" t="s">
        <v>2450</v>
      </c>
      <c r="E204" s="15" t="n">
        <v>4</v>
      </c>
      <c r="F204" s="15" t="s">
        <v>2876</v>
      </c>
      <c r="G204" s="14" t="s">
        <v>2452</v>
      </c>
      <c r="H204" s="16" t="s">
        <v>44</v>
      </c>
      <c r="I204" s="17"/>
      <c r="J204" s="17"/>
    </row>
    <row r="205" customFormat="false" ht="86.55" hidden="false" customHeight="false" outlineLevel="0" collapsed="false">
      <c r="A205" s="14" t="s">
        <v>2877</v>
      </c>
      <c r="B205" s="15" t="s">
        <v>2434</v>
      </c>
      <c r="C205" s="15" t="s">
        <v>2280</v>
      </c>
      <c r="D205" s="14" t="s">
        <v>2450</v>
      </c>
      <c r="E205" s="15" t="n">
        <v>5</v>
      </c>
      <c r="F205" s="15" t="s">
        <v>2878</v>
      </c>
      <c r="G205" s="14" t="s">
        <v>2452</v>
      </c>
      <c r="H205" s="16" t="s">
        <v>44</v>
      </c>
      <c r="I205" s="17"/>
      <c r="J205" s="17"/>
    </row>
    <row r="206" customFormat="false" ht="58.2" hidden="false" customHeight="false" outlineLevel="0" collapsed="false">
      <c r="A206" s="14" t="s">
        <v>2879</v>
      </c>
      <c r="B206" s="15" t="s">
        <v>2434</v>
      </c>
      <c r="C206" s="15" t="s">
        <v>2285</v>
      </c>
      <c r="D206" s="14" t="s">
        <v>2450</v>
      </c>
      <c r="E206" s="15" t="n">
        <v>2</v>
      </c>
      <c r="F206" s="15" t="s">
        <v>2880</v>
      </c>
      <c r="G206" s="15" t="s">
        <v>2461</v>
      </c>
      <c r="H206" s="16" t="s">
        <v>44</v>
      </c>
      <c r="I206" s="17"/>
      <c r="J206" s="17"/>
    </row>
    <row r="207" customFormat="false" ht="72.35" hidden="false" customHeight="false" outlineLevel="0" collapsed="false">
      <c r="A207" s="14" t="s">
        <v>2881</v>
      </c>
      <c r="B207" s="15" t="s">
        <v>2434</v>
      </c>
      <c r="C207" s="15" t="s">
        <v>2285</v>
      </c>
      <c r="D207" s="14" t="s">
        <v>2450</v>
      </c>
      <c r="E207" s="15" t="n">
        <v>3</v>
      </c>
      <c r="F207" s="15" t="s">
        <v>2882</v>
      </c>
      <c r="G207" s="15" t="s">
        <v>2461</v>
      </c>
      <c r="H207" s="16" t="s">
        <v>44</v>
      </c>
      <c r="I207" s="17"/>
      <c r="J207" s="17"/>
    </row>
    <row r="208" customFormat="false" ht="72.35" hidden="false" customHeight="false" outlineLevel="0" collapsed="false">
      <c r="A208" s="14" t="s">
        <v>2883</v>
      </c>
      <c r="B208" s="15" t="s">
        <v>2434</v>
      </c>
      <c r="C208" s="15" t="s">
        <v>2285</v>
      </c>
      <c r="D208" s="14" t="s">
        <v>2450</v>
      </c>
      <c r="E208" s="15" t="n">
        <v>4</v>
      </c>
      <c r="F208" s="15" t="s">
        <v>2884</v>
      </c>
      <c r="G208" s="15" t="s">
        <v>2461</v>
      </c>
      <c r="H208" s="16" t="s">
        <v>44</v>
      </c>
      <c r="I208" s="17"/>
      <c r="J208" s="17"/>
    </row>
    <row r="209" customFormat="false" ht="44" hidden="false" customHeight="false" outlineLevel="0" collapsed="false">
      <c r="A209" s="14" t="s">
        <v>2885</v>
      </c>
      <c r="B209" s="15" t="s">
        <v>2434</v>
      </c>
      <c r="C209" s="15" t="s">
        <v>2285</v>
      </c>
      <c r="D209" s="14" t="s">
        <v>2450</v>
      </c>
      <c r="E209" s="15" t="n">
        <v>5</v>
      </c>
      <c r="F209" s="15" t="s">
        <v>2886</v>
      </c>
      <c r="G209" s="15" t="s">
        <v>2461</v>
      </c>
      <c r="H209" s="16" t="s">
        <v>44</v>
      </c>
      <c r="I209" s="17"/>
      <c r="J209" s="17"/>
    </row>
    <row r="210" customFormat="false" ht="72.35" hidden="false" customHeight="false" outlineLevel="0" collapsed="false">
      <c r="A210" s="14" t="s">
        <v>2887</v>
      </c>
      <c r="B210" s="15" t="s">
        <v>2434</v>
      </c>
      <c r="C210" s="15" t="s">
        <v>2290</v>
      </c>
      <c r="D210" s="14" t="s">
        <v>2450</v>
      </c>
      <c r="E210" s="15" t="n">
        <v>2</v>
      </c>
      <c r="F210" s="15" t="s">
        <v>2888</v>
      </c>
      <c r="G210" s="14" t="s">
        <v>2470</v>
      </c>
      <c r="H210" s="16" t="s">
        <v>44</v>
      </c>
      <c r="I210" s="17"/>
      <c r="J210" s="17"/>
    </row>
    <row r="211" customFormat="false" ht="72.35" hidden="false" customHeight="false" outlineLevel="0" collapsed="false">
      <c r="A211" s="14" t="s">
        <v>2889</v>
      </c>
      <c r="B211" s="15" t="s">
        <v>2434</v>
      </c>
      <c r="C211" s="15" t="s">
        <v>2290</v>
      </c>
      <c r="D211" s="14" t="s">
        <v>2450</v>
      </c>
      <c r="E211" s="15" t="n">
        <v>3</v>
      </c>
      <c r="F211" s="14" t="s">
        <v>2890</v>
      </c>
      <c r="G211" s="14" t="s">
        <v>2470</v>
      </c>
      <c r="H211" s="16" t="s">
        <v>44</v>
      </c>
      <c r="I211" s="17"/>
      <c r="J211" s="17"/>
    </row>
    <row r="212" customFormat="false" ht="72.35" hidden="false" customHeight="false" outlineLevel="0" collapsed="false">
      <c r="A212" s="14" t="s">
        <v>2891</v>
      </c>
      <c r="B212" s="15" t="s">
        <v>2434</v>
      </c>
      <c r="C212" s="15" t="s">
        <v>2290</v>
      </c>
      <c r="D212" s="14" t="s">
        <v>2450</v>
      </c>
      <c r="E212" s="15" t="n">
        <v>4</v>
      </c>
      <c r="F212" s="15" t="s">
        <v>2892</v>
      </c>
      <c r="G212" s="14" t="s">
        <v>2470</v>
      </c>
      <c r="H212" s="16" t="s">
        <v>44</v>
      </c>
      <c r="I212" s="17"/>
      <c r="J212" s="17"/>
    </row>
    <row r="213" customFormat="false" ht="72.35" hidden="false" customHeight="false" outlineLevel="0" collapsed="false">
      <c r="A213" s="14" t="s">
        <v>2893</v>
      </c>
      <c r="B213" s="15" t="s">
        <v>2434</v>
      </c>
      <c r="C213" s="15" t="s">
        <v>2290</v>
      </c>
      <c r="D213" s="14" t="s">
        <v>2450</v>
      </c>
      <c r="E213" s="15" t="n">
        <v>5</v>
      </c>
      <c r="F213" s="15" t="s">
        <v>2894</v>
      </c>
      <c r="G213" s="14" t="s">
        <v>2470</v>
      </c>
      <c r="H213" s="16" t="s">
        <v>44</v>
      </c>
      <c r="I213" s="17"/>
      <c r="J213" s="17"/>
    </row>
    <row r="214" customFormat="false" ht="58.2" hidden="false" customHeight="false" outlineLevel="0" collapsed="false">
      <c r="A214" s="14" t="s">
        <v>2895</v>
      </c>
      <c r="B214" s="15" t="s">
        <v>2434</v>
      </c>
      <c r="C214" s="15" t="s">
        <v>2295</v>
      </c>
      <c r="D214" s="14" t="s">
        <v>2450</v>
      </c>
      <c r="E214" s="15" t="n">
        <v>2</v>
      </c>
      <c r="F214" s="15" t="s">
        <v>2896</v>
      </c>
      <c r="G214" s="14" t="s">
        <v>2479</v>
      </c>
      <c r="H214" s="16" t="s">
        <v>44</v>
      </c>
      <c r="I214" s="17"/>
      <c r="J214" s="17"/>
    </row>
    <row r="215" customFormat="false" ht="58.2" hidden="false" customHeight="false" outlineLevel="0" collapsed="false">
      <c r="A215" s="14" t="s">
        <v>2897</v>
      </c>
      <c r="B215" s="15" t="s">
        <v>2434</v>
      </c>
      <c r="C215" s="15" t="s">
        <v>2295</v>
      </c>
      <c r="D215" s="14" t="s">
        <v>2450</v>
      </c>
      <c r="E215" s="15" t="n">
        <v>3</v>
      </c>
      <c r="F215" s="14" t="s">
        <v>2898</v>
      </c>
      <c r="G215" s="14" t="s">
        <v>2479</v>
      </c>
      <c r="H215" s="16" t="s">
        <v>44</v>
      </c>
      <c r="I215" s="17"/>
      <c r="J215" s="17"/>
    </row>
    <row r="216" customFormat="false" ht="58.2" hidden="false" customHeight="false" outlineLevel="0" collapsed="false">
      <c r="A216" s="14" t="s">
        <v>2899</v>
      </c>
      <c r="B216" s="15" t="s">
        <v>2434</v>
      </c>
      <c r="C216" s="15" t="s">
        <v>2295</v>
      </c>
      <c r="D216" s="14" t="s">
        <v>2450</v>
      </c>
      <c r="E216" s="15" t="n">
        <v>4</v>
      </c>
      <c r="F216" s="14" t="s">
        <v>2900</v>
      </c>
      <c r="G216" s="14" t="s">
        <v>2479</v>
      </c>
      <c r="H216" s="16" t="s">
        <v>44</v>
      </c>
      <c r="I216" s="17"/>
      <c r="J216" s="17"/>
    </row>
    <row r="217" customFormat="false" ht="58.2" hidden="false" customHeight="false" outlineLevel="0" collapsed="false">
      <c r="A217" s="14" t="s">
        <v>2901</v>
      </c>
      <c r="B217" s="15" t="s">
        <v>2434</v>
      </c>
      <c r="C217" s="15" t="s">
        <v>2295</v>
      </c>
      <c r="D217" s="14" t="s">
        <v>2450</v>
      </c>
      <c r="E217" s="15" t="n">
        <v>5</v>
      </c>
      <c r="F217" s="15" t="s">
        <v>2902</v>
      </c>
      <c r="G217" s="14" t="s">
        <v>2479</v>
      </c>
      <c r="H217" s="16" t="s">
        <v>44</v>
      </c>
      <c r="I217" s="17"/>
      <c r="J217" s="17"/>
    </row>
    <row r="218" customFormat="false" ht="58.2" hidden="false" customHeight="false" outlineLevel="0" collapsed="false">
      <c r="A218" s="14" t="s">
        <v>2903</v>
      </c>
      <c r="B218" s="15" t="s">
        <v>2434</v>
      </c>
      <c r="C218" s="15" t="s">
        <v>2295</v>
      </c>
      <c r="D218" s="14" t="s">
        <v>2487</v>
      </c>
      <c r="E218" s="15" t="n">
        <v>2</v>
      </c>
      <c r="F218" s="15" t="s">
        <v>2904</v>
      </c>
      <c r="G218" s="15" t="s">
        <v>2489</v>
      </c>
      <c r="H218" s="16" t="s">
        <v>44</v>
      </c>
      <c r="I218" s="17"/>
      <c r="J218" s="17"/>
    </row>
    <row r="219" customFormat="false" ht="44" hidden="false" customHeight="false" outlineLevel="0" collapsed="false">
      <c r="A219" s="14" t="s">
        <v>2905</v>
      </c>
      <c r="B219" s="15" t="s">
        <v>2434</v>
      </c>
      <c r="C219" s="15" t="s">
        <v>2295</v>
      </c>
      <c r="D219" s="14" t="s">
        <v>2487</v>
      </c>
      <c r="E219" s="15" t="n">
        <v>3</v>
      </c>
      <c r="F219" s="14" t="s">
        <v>2906</v>
      </c>
      <c r="G219" s="15" t="s">
        <v>2489</v>
      </c>
      <c r="H219" s="16" t="s">
        <v>44</v>
      </c>
      <c r="I219" s="17"/>
      <c r="J219" s="17"/>
    </row>
    <row r="220" customFormat="false" ht="44" hidden="false" customHeight="false" outlineLevel="0" collapsed="false">
      <c r="A220" s="14" t="s">
        <v>2907</v>
      </c>
      <c r="B220" s="15" t="s">
        <v>2434</v>
      </c>
      <c r="C220" s="15" t="s">
        <v>2295</v>
      </c>
      <c r="D220" s="14" t="s">
        <v>2487</v>
      </c>
      <c r="E220" s="15" t="n">
        <v>4</v>
      </c>
      <c r="F220" s="15" t="s">
        <v>2908</v>
      </c>
      <c r="G220" s="15" t="s">
        <v>2489</v>
      </c>
      <c r="H220" s="16" t="s">
        <v>44</v>
      </c>
      <c r="I220" s="17"/>
      <c r="J220" s="17"/>
    </row>
    <row r="221" customFormat="false" ht="44" hidden="false" customHeight="false" outlineLevel="0" collapsed="false">
      <c r="A221" s="14" t="s">
        <v>2909</v>
      </c>
      <c r="B221" s="15" t="s">
        <v>2434</v>
      </c>
      <c r="C221" s="15" t="s">
        <v>2295</v>
      </c>
      <c r="D221" s="14" t="s">
        <v>2487</v>
      </c>
      <c r="E221" s="15" t="n">
        <v>5</v>
      </c>
      <c r="F221" s="15" t="s">
        <v>2910</v>
      </c>
      <c r="G221" s="15" t="s">
        <v>2489</v>
      </c>
      <c r="H221" s="16" t="s">
        <v>44</v>
      </c>
      <c r="I221" s="17"/>
      <c r="J221" s="17"/>
    </row>
  </sheetData>
  <autoFilter ref="A1:J221"/>
  <dataValidations count="1">
    <dataValidation allowBlank="false" errorStyle="stop" operator="between" showDropDown="false" showErrorMessage="false" showInputMessage="false" sqref="H2:H2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4.2"/>
    <col collapsed="false" customWidth="true" hidden="false" outlineLevel="0" max="5" min="5" style="0" width="41.8"/>
    <col collapsed="false" customWidth="true" hidden="false" outlineLevel="0" max="8" min="6" style="0" width="55"/>
    <col collapsed="false" customWidth="true" hidden="false" outlineLevel="0" max="9" min="9" style="0" width="8"/>
    <col collapsed="false" customWidth="true" hidden="false" outlineLevel="0" max="10" min="10" style="0" width="23.1"/>
    <col collapsed="false" customWidth="true" hidden="false" outlineLevel="0" max="11" min="11" style="0" width="35.2"/>
    <col collapsed="false" customWidth="true" hidden="false" outlineLevel="0" max="14" min="12" style="0" width="55"/>
    <col collapsed="false" customWidth="true" hidden="false" outlineLevel="0" max="15" min="15" style="0" width="8.8"/>
    <col collapsed="false" customWidth="true" hidden="false" outlineLevel="0" max="16" min="16" style="0" width="24.2"/>
    <col collapsed="false" customWidth="true" hidden="false" outlineLevel="0" max="17" min="17" style="0" width="35.2"/>
    <col collapsed="false" customWidth="true" hidden="false" outlineLevel="0" max="20" min="18" style="0" width="55"/>
    <col collapsed="false" customWidth="true" hidden="false" outlineLevel="0" max="21" min="21" style="0" width="8.8"/>
    <col collapsed="false" customWidth="true" hidden="false" outlineLevel="0" max="22" min="22" style="0" width="22"/>
    <col collapsed="false" customWidth="true" hidden="false" outlineLevel="0" max="23" min="23" style="0" width="55"/>
    <col collapsed="false" customWidth="true" hidden="false" outlineLevel="0" max="24" min="24" style="0" width="15.39"/>
    <col collapsed="false" customWidth="true" hidden="false" outlineLevel="0" max="26" min="25" style="0" width="40"/>
  </cols>
  <sheetData>
    <row r="1" customFormat="false" ht="29.85" hidden="false" customHeight="false" outlineLevel="0" collapsed="false">
      <c r="A1" s="12" t="s">
        <v>148</v>
      </c>
      <c r="B1" s="13" t="s">
        <v>416</v>
      </c>
      <c r="C1" s="13" t="s">
        <v>2911</v>
      </c>
      <c r="D1" s="13" t="s">
        <v>2912</v>
      </c>
      <c r="E1" s="13" t="s">
        <v>2913</v>
      </c>
      <c r="F1" s="13" t="s">
        <v>2914</v>
      </c>
      <c r="G1" s="13" t="s">
        <v>2915</v>
      </c>
      <c r="H1" s="13" t="s">
        <v>2916</v>
      </c>
      <c r="I1" s="13" t="s">
        <v>2917</v>
      </c>
      <c r="J1" s="13" t="s">
        <v>2918</v>
      </c>
      <c r="K1" s="13" t="s">
        <v>2919</v>
      </c>
      <c r="L1" s="13" t="s">
        <v>2920</v>
      </c>
      <c r="M1" s="13" t="s">
        <v>2921</v>
      </c>
      <c r="N1" s="13" t="s">
        <v>2922</v>
      </c>
      <c r="O1" s="13" t="s">
        <v>2923</v>
      </c>
      <c r="P1" s="13" t="s">
        <v>2924</v>
      </c>
      <c r="Q1" s="13" t="s">
        <v>2925</v>
      </c>
      <c r="R1" s="13" t="s">
        <v>2926</v>
      </c>
      <c r="S1" s="13" t="s">
        <v>2927</v>
      </c>
      <c r="T1" s="13" t="s">
        <v>2928</v>
      </c>
      <c r="U1" s="13" t="s">
        <v>2929</v>
      </c>
      <c r="V1" s="13" t="s">
        <v>2930</v>
      </c>
      <c r="W1" s="13" t="s">
        <v>159</v>
      </c>
      <c r="X1" s="13" t="s">
        <v>160</v>
      </c>
      <c r="Y1" s="13" t="s">
        <v>161</v>
      </c>
      <c r="Z1" s="13" t="s">
        <v>162</v>
      </c>
    </row>
    <row r="2" customFormat="false" ht="44" hidden="false" customHeight="false" outlineLevel="0" collapsed="false">
      <c r="A2" s="14" t="s">
        <v>2931</v>
      </c>
      <c r="B2" s="15" t="s">
        <v>429</v>
      </c>
      <c r="C2" s="15" t="s">
        <v>2932</v>
      </c>
      <c r="D2" s="14" t="s">
        <v>2933</v>
      </c>
      <c r="E2" s="14" t="s">
        <v>2934</v>
      </c>
      <c r="F2" s="15" t="s">
        <v>2935</v>
      </c>
      <c r="G2" s="15" t="s">
        <v>2936</v>
      </c>
      <c r="H2" s="14" t="s">
        <v>2937</v>
      </c>
      <c r="I2" s="15"/>
      <c r="J2" s="14" t="s">
        <v>2938</v>
      </c>
      <c r="K2" s="15" t="s">
        <v>2939</v>
      </c>
      <c r="L2" s="15" t="s">
        <v>2940</v>
      </c>
      <c r="M2" s="15" t="s">
        <v>2941</v>
      </c>
      <c r="N2" s="15" t="s">
        <v>2942</v>
      </c>
      <c r="O2" s="15" t="s">
        <v>2943</v>
      </c>
      <c r="P2" s="14" t="s">
        <v>2944</v>
      </c>
      <c r="Q2" s="15" t="s">
        <v>2945</v>
      </c>
      <c r="R2" s="15" t="s">
        <v>2946</v>
      </c>
      <c r="S2" s="15" t="s">
        <v>2947</v>
      </c>
      <c r="T2" s="15" t="s">
        <v>2948</v>
      </c>
      <c r="U2" s="15" t="s">
        <v>2943</v>
      </c>
      <c r="V2" s="14" t="s">
        <v>2949</v>
      </c>
      <c r="W2" s="14" t="s">
        <v>2950</v>
      </c>
      <c r="X2" s="16" t="s">
        <v>44</v>
      </c>
      <c r="Y2" s="17"/>
      <c r="Z2" s="17"/>
    </row>
    <row r="3" customFormat="false" ht="44" hidden="false" customHeight="false" outlineLevel="0" collapsed="false">
      <c r="A3" s="14" t="s">
        <v>2951</v>
      </c>
      <c r="B3" s="15" t="s">
        <v>429</v>
      </c>
      <c r="C3" s="15" t="s">
        <v>2952</v>
      </c>
      <c r="D3" s="14" t="s">
        <v>2953</v>
      </c>
      <c r="E3" s="15" t="s">
        <v>2954</v>
      </c>
      <c r="F3" s="15" t="s">
        <v>2955</v>
      </c>
      <c r="G3" s="15" t="s">
        <v>2956</v>
      </c>
      <c r="H3" s="14" t="s">
        <v>2957</v>
      </c>
      <c r="I3" s="15"/>
      <c r="J3" s="14" t="s">
        <v>2958</v>
      </c>
      <c r="K3" s="15" t="s">
        <v>2959</v>
      </c>
      <c r="L3" s="15" t="s">
        <v>2960</v>
      </c>
      <c r="M3" s="15" t="s">
        <v>2961</v>
      </c>
      <c r="N3" s="14" t="s">
        <v>2962</v>
      </c>
      <c r="O3" s="15"/>
      <c r="P3" s="14" t="s">
        <v>2963</v>
      </c>
      <c r="Q3" s="14" t="s">
        <v>2964</v>
      </c>
      <c r="R3" s="15" t="s">
        <v>2965</v>
      </c>
      <c r="S3" s="15" t="s">
        <v>2966</v>
      </c>
      <c r="T3" s="14" t="s">
        <v>2967</v>
      </c>
      <c r="U3" s="15"/>
      <c r="V3" s="14" t="s">
        <v>2968</v>
      </c>
      <c r="W3" s="14" t="s">
        <v>2969</v>
      </c>
      <c r="X3" s="16" t="s">
        <v>44</v>
      </c>
      <c r="Y3" s="17"/>
      <c r="Z3" s="17"/>
    </row>
    <row r="4" customFormat="false" ht="44" hidden="false" customHeight="false" outlineLevel="0" collapsed="false">
      <c r="A4" s="14" t="s">
        <v>2970</v>
      </c>
      <c r="B4" s="15" t="s">
        <v>429</v>
      </c>
      <c r="C4" s="15" t="s">
        <v>2971</v>
      </c>
      <c r="D4" s="14" t="s">
        <v>2972</v>
      </c>
      <c r="E4" s="14" t="s">
        <v>2973</v>
      </c>
      <c r="F4" s="15" t="s">
        <v>2974</v>
      </c>
      <c r="G4" s="15" t="s">
        <v>2975</v>
      </c>
      <c r="H4" s="14" t="s">
        <v>2976</v>
      </c>
      <c r="I4" s="15"/>
      <c r="J4" s="14" t="s">
        <v>2977</v>
      </c>
      <c r="K4" s="15" t="s">
        <v>2978</v>
      </c>
      <c r="L4" s="15" t="s">
        <v>2979</v>
      </c>
      <c r="M4" s="15" t="s">
        <v>2980</v>
      </c>
      <c r="N4" s="14" t="s">
        <v>2981</v>
      </c>
      <c r="O4" s="15"/>
      <c r="P4" s="14" t="s">
        <v>2982</v>
      </c>
      <c r="Q4" s="15" t="s">
        <v>2983</v>
      </c>
      <c r="R4" s="15" t="s">
        <v>2984</v>
      </c>
      <c r="S4" s="15" t="s">
        <v>2985</v>
      </c>
      <c r="T4" s="15" t="s">
        <v>2986</v>
      </c>
      <c r="U4" s="15" t="s">
        <v>2987</v>
      </c>
      <c r="V4" s="14" t="s">
        <v>2988</v>
      </c>
      <c r="W4" s="14" t="s">
        <v>2989</v>
      </c>
      <c r="X4" s="16" t="s">
        <v>44</v>
      </c>
      <c r="Y4" s="17"/>
      <c r="Z4" s="17"/>
    </row>
    <row r="5" customFormat="false" ht="44" hidden="false" customHeight="false" outlineLevel="0" collapsed="false">
      <c r="A5" s="14" t="s">
        <v>2990</v>
      </c>
      <c r="B5" s="15" t="s">
        <v>429</v>
      </c>
      <c r="C5" s="15" t="s">
        <v>2991</v>
      </c>
      <c r="D5" s="14" t="s">
        <v>2992</v>
      </c>
      <c r="E5" s="15" t="s">
        <v>2993</v>
      </c>
      <c r="F5" s="15" t="s">
        <v>2994</v>
      </c>
      <c r="G5" s="15" t="s">
        <v>2995</v>
      </c>
      <c r="H5" s="14" t="s">
        <v>2996</v>
      </c>
      <c r="I5" s="15"/>
      <c r="J5" s="14" t="s">
        <v>2997</v>
      </c>
      <c r="K5" s="15" t="s">
        <v>2998</v>
      </c>
      <c r="L5" s="15" t="s">
        <v>2999</v>
      </c>
      <c r="M5" s="15" t="s">
        <v>3000</v>
      </c>
      <c r="N5" s="15" t="s">
        <v>3001</v>
      </c>
      <c r="O5" s="15"/>
      <c r="P5" s="14" t="s">
        <v>3002</v>
      </c>
      <c r="Q5" s="15" t="s">
        <v>3003</v>
      </c>
      <c r="R5" s="15" t="s">
        <v>3004</v>
      </c>
      <c r="S5" s="15" t="s">
        <v>3005</v>
      </c>
      <c r="T5" s="15" t="s">
        <v>3006</v>
      </c>
      <c r="U5" s="15"/>
      <c r="V5" s="14" t="s">
        <v>3007</v>
      </c>
      <c r="W5" s="15" t="s">
        <v>3008</v>
      </c>
      <c r="X5" s="16" t="s">
        <v>44</v>
      </c>
      <c r="Y5" s="17"/>
      <c r="Z5" s="17"/>
    </row>
    <row r="6" customFormat="false" ht="44" hidden="false" customHeight="false" outlineLevel="0" collapsed="false">
      <c r="A6" s="14" t="s">
        <v>3009</v>
      </c>
      <c r="B6" s="15" t="s">
        <v>429</v>
      </c>
      <c r="C6" s="15" t="s">
        <v>3010</v>
      </c>
      <c r="D6" s="14" t="s">
        <v>3011</v>
      </c>
      <c r="E6" s="15" t="s">
        <v>3012</v>
      </c>
      <c r="F6" s="15" t="s">
        <v>3013</v>
      </c>
      <c r="G6" s="15" t="s">
        <v>3014</v>
      </c>
      <c r="H6" s="14" t="s">
        <v>3015</v>
      </c>
      <c r="I6" s="15"/>
      <c r="J6" s="14" t="s">
        <v>3016</v>
      </c>
      <c r="K6" s="15" t="s">
        <v>3017</v>
      </c>
      <c r="L6" s="15" t="s">
        <v>3018</v>
      </c>
      <c r="M6" s="15" t="s">
        <v>3019</v>
      </c>
      <c r="N6" s="15" t="s">
        <v>3020</v>
      </c>
      <c r="O6" s="15"/>
      <c r="P6" s="14" t="s">
        <v>3021</v>
      </c>
      <c r="Q6" s="15" t="s">
        <v>3022</v>
      </c>
      <c r="R6" s="15" t="s">
        <v>3023</v>
      </c>
      <c r="S6" s="15" t="s">
        <v>3024</v>
      </c>
      <c r="T6" s="15" t="s">
        <v>3025</v>
      </c>
      <c r="U6" s="15"/>
      <c r="V6" s="14" t="s">
        <v>3026</v>
      </c>
      <c r="W6" s="14" t="s">
        <v>3027</v>
      </c>
      <c r="X6" s="16" t="s">
        <v>44</v>
      </c>
      <c r="Y6" s="17"/>
      <c r="Z6" s="17"/>
    </row>
    <row r="7" customFormat="false" ht="44" hidden="false" customHeight="false" outlineLevel="0" collapsed="false">
      <c r="A7" s="14" t="s">
        <v>3028</v>
      </c>
      <c r="B7" s="15" t="s">
        <v>429</v>
      </c>
      <c r="C7" s="15" t="s">
        <v>3029</v>
      </c>
      <c r="D7" s="14" t="s">
        <v>3030</v>
      </c>
      <c r="E7" s="15" t="s">
        <v>3031</v>
      </c>
      <c r="F7" s="15" t="s">
        <v>3032</v>
      </c>
      <c r="G7" s="15" t="s">
        <v>3033</v>
      </c>
      <c r="H7" s="15" t="s">
        <v>3034</v>
      </c>
      <c r="I7" s="15"/>
      <c r="J7" s="14" t="s">
        <v>3035</v>
      </c>
      <c r="K7" s="15" t="s">
        <v>3036</v>
      </c>
      <c r="L7" s="15" t="s">
        <v>3037</v>
      </c>
      <c r="M7" s="15" t="s">
        <v>3038</v>
      </c>
      <c r="N7" s="15" t="s">
        <v>3039</v>
      </c>
      <c r="O7" s="15"/>
      <c r="P7" s="14" t="s">
        <v>3040</v>
      </c>
      <c r="Q7" s="15" t="s">
        <v>3041</v>
      </c>
      <c r="R7" s="15" t="s">
        <v>3042</v>
      </c>
      <c r="S7" s="15" t="s">
        <v>3043</v>
      </c>
      <c r="T7" s="14" t="s">
        <v>3044</v>
      </c>
      <c r="U7" s="15"/>
      <c r="V7" s="14" t="s">
        <v>3045</v>
      </c>
      <c r="W7" s="15" t="s">
        <v>3046</v>
      </c>
      <c r="X7" s="16" t="s">
        <v>44</v>
      </c>
      <c r="Y7" s="17"/>
      <c r="Z7" s="17"/>
    </row>
    <row r="8" customFormat="false" ht="44" hidden="false" customHeight="false" outlineLevel="0" collapsed="false">
      <c r="A8" s="14" t="s">
        <v>3047</v>
      </c>
      <c r="B8" s="15" t="s">
        <v>478</v>
      </c>
      <c r="C8" s="15" t="s">
        <v>2932</v>
      </c>
      <c r="D8" s="14" t="s">
        <v>3048</v>
      </c>
      <c r="E8" s="15" t="s">
        <v>3049</v>
      </c>
      <c r="F8" s="15" t="s">
        <v>3050</v>
      </c>
      <c r="G8" s="15" t="s">
        <v>3051</v>
      </c>
      <c r="H8" s="15" t="s">
        <v>3052</v>
      </c>
      <c r="I8" s="15" t="s">
        <v>2943</v>
      </c>
      <c r="J8" s="14" t="s">
        <v>3053</v>
      </c>
      <c r="K8" s="15" t="s">
        <v>3054</v>
      </c>
      <c r="L8" s="15" t="s">
        <v>3055</v>
      </c>
      <c r="M8" s="15" t="s">
        <v>3056</v>
      </c>
      <c r="N8" s="15" t="s">
        <v>3057</v>
      </c>
      <c r="O8" s="15" t="s">
        <v>2943</v>
      </c>
      <c r="P8" s="14" t="s">
        <v>3058</v>
      </c>
      <c r="Q8" s="15" t="s">
        <v>3059</v>
      </c>
      <c r="R8" s="15" t="s">
        <v>3060</v>
      </c>
      <c r="S8" s="15" t="s">
        <v>3061</v>
      </c>
      <c r="T8" s="15" t="s">
        <v>2948</v>
      </c>
      <c r="U8" s="15" t="s">
        <v>2943</v>
      </c>
      <c r="V8" s="14" t="s">
        <v>3062</v>
      </c>
      <c r="W8" s="15" t="s">
        <v>3063</v>
      </c>
      <c r="X8" s="16" t="s">
        <v>44</v>
      </c>
      <c r="Y8" s="17"/>
      <c r="Z8" s="17"/>
    </row>
    <row r="9" customFormat="false" ht="44" hidden="false" customHeight="false" outlineLevel="0" collapsed="false">
      <c r="A9" s="14" t="s">
        <v>3064</v>
      </c>
      <c r="B9" s="15" t="s">
        <v>478</v>
      </c>
      <c r="C9" s="15" t="s">
        <v>2952</v>
      </c>
      <c r="D9" s="14" t="s">
        <v>3065</v>
      </c>
      <c r="E9" s="15" t="s">
        <v>3066</v>
      </c>
      <c r="F9" s="15" t="s">
        <v>3067</v>
      </c>
      <c r="G9" s="15" t="s">
        <v>3068</v>
      </c>
      <c r="H9" s="14" t="s">
        <v>3069</v>
      </c>
      <c r="I9" s="15"/>
      <c r="J9" s="14" t="s">
        <v>3070</v>
      </c>
      <c r="K9" s="15" t="s">
        <v>3071</v>
      </c>
      <c r="L9" s="15" t="s">
        <v>3072</v>
      </c>
      <c r="M9" s="15" t="s">
        <v>3073</v>
      </c>
      <c r="N9" s="14" t="s">
        <v>3074</v>
      </c>
      <c r="O9" s="15"/>
      <c r="P9" s="14" t="s">
        <v>3075</v>
      </c>
      <c r="Q9" s="15" t="s">
        <v>3076</v>
      </c>
      <c r="R9" s="15" t="s">
        <v>3077</v>
      </c>
      <c r="S9" s="15" t="s">
        <v>3078</v>
      </c>
      <c r="T9" s="15" t="s">
        <v>3079</v>
      </c>
      <c r="U9" s="15"/>
      <c r="V9" s="14" t="s">
        <v>3080</v>
      </c>
      <c r="W9" s="14" t="s">
        <v>3081</v>
      </c>
      <c r="X9" s="16" t="s">
        <v>44</v>
      </c>
      <c r="Y9" s="17"/>
      <c r="Z9" s="17"/>
    </row>
    <row r="10" customFormat="false" ht="58.2" hidden="false" customHeight="false" outlineLevel="0" collapsed="false">
      <c r="A10" s="14" t="s">
        <v>3082</v>
      </c>
      <c r="B10" s="15" t="s">
        <v>478</v>
      </c>
      <c r="C10" s="15" t="s">
        <v>2971</v>
      </c>
      <c r="D10" s="14" t="s">
        <v>3083</v>
      </c>
      <c r="E10" s="15" t="s">
        <v>3084</v>
      </c>
      <c r="F10" s="15" t="s">
        <v>3085</v>
      </c>
      <c r="G10" s="15" t="s">
        <v>3086</v>
      </c>
      <c r="H10" s="14" t="s">
        <v>3087</v>
      </c>
      <c r="I10" s="15"/>
      <c r="J10" s="14" t="s">
        <v>3088</v>
      </c>
      <c r="K10" s="15" t="s">
        <v>3089</v>
      </c>
      <c r="L10" s="15" t="s">
        <v>3090</v>
      </c>
      <c r="M10" s="15" t="s">
        <v>3091</v>
      </c>
      <c r="N10" s="15" t="s">
        <v>2948</v>
      </c>
      <c r="O10" s="15" t="s">
        <v>2987</v>
      </c>
      <c r="P10" s="14" t="s">
        <v>3092</v>
      </c>
      <c r="Q10" s="15" t="s">
        <v>3093</v>
      </c>
      <c r="R10" s="15" t="s">
        <v>3094</v>
      </c>
      <c r="S10" s="15" t="s">
        <v>3095</v>
      </c>
      <c r="T10" s="14" t="s">
        <v>3096</v>
      </c>
      <c r="U10" s="15"/>
      <c r="V10" s="14" t="s">
        <v>3097</v>
      </c>
      <c r="W10" s="14" t="s">
        <v>3098</v>
      </c>
      <c r="X10" s="16" t="s">
        <v>44</v>
      </c>
      <c r="Y10" s="17"/>
      <c r="Z10" s="17"/>
    </row>
    <row r="11" customFormat="false" ht="44" hidden="false" customHeight="false" outlineLevel="0" collapsed="false">
      <c r="A11" s="14" t="s">
        <v>3099</v>
      </c>
      <c r="B11" s="15" t="s">
        <v>478</v>
      </c>
      <c r="C11" s="15" t="s">
        <v>2991</v>
      </c>
      <c r="D11" s="14" t="s">
        <v>3100</v>
      </c>
      <c r="E11" s="15" t="s">
        <v>3101</v>
      </c>
      <c r="F11" s="15" t="s">
        <v>3102</v>
      </c>
      <c r="G11" s="15" t="s">
        <v>3103</v>
      </c>
      <c r="H11" s="14" t="s">
        <v>3104</v>
      </c>
      <c r="I11" s="15"/>
      <c r="J11" s="14" t="s">
        <v>3105</v>
      </c>
      <c r="K11" s="15" t="s">
        <v>3106</v>
      </c>
      <c r="L11" s="15" t="s">
        <v>3107</v>
      </c>
      <c r="M11" s="15" t="s">
        <v>3108</v>
      </c>
      <c r="N11" s="15" t="s">
        <v>3109</v>
      </c>
      <c r="O11" s="15"/>
      <c r="P11" s="14" t="s">
        <v>3110</v>
      </c>
      <c r="Q11" s="15" t="s">
        <v>3111</v>
      </c>
      <c r="R11" s="15" t="s">
        <v>3112</v>
      </c>
      <c r="S11" s="15" t="s">
        <v>3113</v>
      </c>
      <c r="T11" s="15" t="s">
        <v>3114</v>
      </c>
      <c r="U11" s="15"/>
      <c r="V11" s="14" t="s">
        <v>3115</v>
      </c>
      <c r="W11" s="14" t="s">
        <v>3116</v>
      </c>
      <c r="X11" s="16" t="s">
        <v>44</v>
      </c>
      <c r="Y11" s="17"/>
      <c r="Z11" s="17"/>
    </row>
    <row r="12" customFormat="false" ht="44" hidden="false" customHeight="false" outlineLevel="0" collapsed="false">
      <c r="A12" s="14" t="s">
        <v>3117</v>
      </c>
      <c r="B12" s="15" t="s">
        <v>478</v>
      </c>
      <c r="C12" s="15" t="s">
        <v>3010</v>
      </c>
      <c r="D12" s="14" t="s">
        <v>3118</v>
      </c>
      <c r="E12" s="15" t="s">
        <v>3119</v>
      </c>
      <c r="F12" s="15" t="s">
        <v>3120</v>
      </c>
      <c r="G12" s="15" t="s">
        <v>3121</v>
      </c>
      <c r="H12" s="15" t="s">
        <v>3122</v>
      </c>
      <c r="I12" s="15"/>
      <c r="J12" s="14" t="s">
        <v>3123</v>
      </c>
      <c r="K12" s="15" t="s">
        <v>3124</v>
      </c>
      <c r="L12" s="15" t="s">
        <v>3125</v>
      </c>
      <c r="M12" s="15" t="s">
        <v>3126</v>
      </c>
      <c r="N12" s="15" t="s">
        <v>2948</v>
      </c>
      <c r="O12" s="15"/>
      <c r="P12" s="14" t="s">
        <v>3127</v>
      </c>
      <c r="Q12" s="15" t="s">
        <v>3128</v>
      </c>
      <c r="R12" s="15" t="s">
        <v>3129</v>
      </c>
      <c r="S12" s="15" t="s">
        <v>3130</v>
      </c>
      <c r="T12" s="15" t="s">
        <v>3131</v>
      </c>
      <c r="U12" s="15"/>
      <c r="V12" s="14" t="s">
        <v>3132</v>
      </c>
      <c r="W12" s="15"/>
      <c r="X12" s="16" t="s">
        <v>44</v>
      </c>
      <c r="Y12" s="17"/>
      <c r="Z12" s="17"/>
    </row>
    <row r="13" customFormat="false" ht="44" hidden="false" customHeight="false" outlineLevel="0" collapsed="false">
      <c r="A13" s="14" t="s">
        <v>3133</v>
      </c>
      <c r="B13" s="15" t="s">
        <v>478</v>
      </c>
      <c r="C13" s="15" t="s">
        <v>3029</v>
      </c>
      <c r="D13" s="14" t="s">
        <v>3134</v>
      </c>
      <c r="E13" s="15" t="s">
        <v>3135</v>
      </c>
      <c r="F13" s="15" t="s">
        <v>3136</v>
      </c>
      <c r="G13" s="15" t="s">
        <v>3137</v>
      </c>
      <c r="H13" s="14" t="s">
        <v>3138</v>
      </c>
      <c r="I13" s="15"/>
      <c r="J13" s="14" t="s">
        <v>3139</v>
      </c>
      <c r="K13" s="15" t="s">
        <v>3140</v>
      </c>
      <c r="L13" s="15" t="s">
        <v>3141</v>
      </c>
      <c r="M13" s="15" t="s">
        <v>3142</v>
      </c>
      <c r="N13" s="14" t="s">
        <v>3143</v>
      </c>
      <c r="O13" s="15"/>
      <c r="P13" s="14" t="s">
        <v>3144</v>
      </c>
      <c r="Q13" s="15" t="s">
        <v>3145</v>
      </c>
      <c r="R13" s="15" t="s">
        <v>3146</v>
      </c>
      <c r="S13" s="15" t="s">
        <v>3147</v>
      </c>
      <c r="T13" s="15" t="s">
        <v>3148</v>
      </c>
      <c r="U13" s="15"/>
      <c r="V13" s="14" t="s">
        <v>3149</v>
      </c>
      <c r="W13" s="15" t="s">
        <v>3150</v>
      </c>
      <c r="X13" s="16" t="s">
        <v>44</v>
      </c>
      <c r="Y13" s="17"/>
      <c r="Z13" s="17"/>
    </row>
    <row r="14" customFormat="false" ht="44" hidden="false" customHeight="false" outlineLevel="0" collapsed="false">
      <c r="A14" s="14" t="s">
        <v>3151</v>
      </c>
      <c r="B14" s="15" t="s">
        <v>521</v>
      </c>
      <c r="C14" s="15" t="s">
        <v>2932</v>
      </c>
      <c r="D14" s="14" t="s">
        <v>3152</v>
      </c>
      <c r="E14" s="15" t="s">
        <v>3153</v>
      </c>
      <c r="F14" s="15" t="s">
        <v>3154</v>
      </c>
      <c r="G14" s="15" t="s">
        <v>3155</v>
      </c>
      <c r="H14" s="15" t="s">
        <v>2948</v>
      </c>
      <c r="I14" s="15" t="s">
        <v>2943</v>
      </c>
      <c r="J14" s="14" t="s">
        <v>3156</v>
      </c>
      <c r="K14" s="15" t="s">
        <v>3157</v>
      </c>
      <c r="L14" s="15" t="s">
        <v>3158</v>
      </c>
      <c r="M14" s="15" t="s">
        <v>3159</v>
      </c>
      <c r="N14" s="15" t="s">
        <v>2948</v>
      </c>
      <c r="O14" s="15" t="s">
        <v>2943</v>
      </c>
      <c r="P14" s="14" t="s">
        <v>3160</v>
      </c>
      <c r="Q14" s="15" t="s">
        <v>3161</v>
      </c>
      <c r="R14" s="15" t="s">
        <v>3162</v>
      </c>
      <c r="S14" s="15" t="s">
        <v>3163</v>
      </c>
      <c r="T14" s="15" t="s">
        <v>3164</v>
      </c>
      <c r="U14" s="15" t="s">
        <v>2943</v>
      </c>
      <c r="V14" s="14" t="s">
        <v>3165</v>
      </c>
      <c r="W14" s="15" t="s">
        <v>3166</v>
      </c>
      <c r="X14" s="16" t="s">
        <v>44</v>
      </c>
      <c r="Y14" s="17"/>
      <c r="Z14" s="17"/>
    </row>
    <row r="15" customFormat="false" ht="44" hidden="false" customHeight="false" outlineLevel="0" collapsed="false">
      <c r="A15" s="14" t="s">
        <v>3167</v>
      </c>
      <c r="B15" s="15" t="s">
        <v>521</v>
      </c>
      <c r="C15" s="15" t="s">
        <v>2952</v>
      </c>
      <c r="D15" s="14" t="s">
        <v>3168</v>
      </c>
      <c r="E15" s="15" t="s">
        <v>3169</v>
      </c>
      <c r="F15" s="15" t="s">
        <v>3170</v>
      </c>
      <c r="G15" s="15" t="s">
        <v>3171</v>
      </c>
      <c r="H15" s="14" t="s">
        <v>3172</v>
      </c>
      <c r="I15" s="15"/>
      <c r="J15" s="14" t="s">
        <v>3173</v>
      </c>
      <c r="K15" s="15" t="s">
        <v>3174</v>
      </c>
      <c r="L15" s="15" t="s">
        <v>3175</v>
      </c>
      <c r="M15" s="15" t="s">
        <v>3176</v>
      </c>
      <c r="N15" s="15" t="s">
        <v>2948</v>
      </c>
      <c r="O15" s="15"/>
      <c r="P15" s="14" t="s">
        <v>3177</v>
      </c>
      <c r="Q15" s="15" t="s">
        <v>3178</v>
      </c>
      <c r="R15" s="15" t="s">
        <v>3179</v>
      </c>
      <c r="S15" s="15" t="s">
        <v>3180</v>
      </c>
      <c r="T15" s="15" t="s">
        <v>3181</v>
      </c>
      <c r="U15" s="15"/>
      <c r="V15" s="14" t="s">
        <v>3182</v>
      </c>
      <c r="W15" s="14" t="s">
        <v>3183</v>
      </c>
      <c r="X15" s="16" t="s">
        <v>44</v>
      </c>
      <c r="Y15" s="17"/>
      <c r="Z15" s="17"/>
    </row>
    <row r="16" customFormat="false" ht="44" hidden="false" customHeight="false" outlineLevel="0" collapsed="false">
      <c r="A16" s="14" t="s">
        <v>3184</v>
      </c>
      <c r="B16" s="15" t="s">
        <v>521</v>
      </c>
      <c r="C16" s="15" t="s">
        <v>2971</v>
      </c>
      <c r="D16" s="14" t="s">
        <v>3185</v>
      </c>
      <c r="E16" s="15" t="s">
        <v>3186</v>
      </c>
      <c r="F16" s="15" t="s">
        <v>3187</v>
      </c>
      <c r="G16" s="15" t="s">
        <v>3188</v>
      </c>
      <c r="H16" s="15" t="s">
        <v>3189</v>
      </c>
      <c r="I16" s="15"/>
      <c r="J16" s="14" t="s">
        <v>3190</v>
      </c>
      <c r="K16" s="15" t="s">
        <v>3191</v>
      </c>
      <c r="L16" s="15" t="s">
        <v>3192</v>
      </c>
      <c r="M16" s="15" t="s">
        <v>3193</v>
      </c>
      <c r="N16" s="15" t="s">
        <v>3194</v>
      </c>
      <c r="O16" s="15" t="s">
        <v>2987</v>
      </c>
      <c r="P16" s="14" t="s">
        <v>3195</v>
      </c>
      <c r="Q16" s="15" t="s">
        <v>3196</v>
      </c>
      <c r="R16" s="15" t="s">
        <v>3197</v>
      </c>
      <c r="S16" s="15" t="s">
        <v>3198</v>
      </c>
      <c r="T16" s="15" t="s">
        <v>3194</v>
      </c>
      <c r="U16" s="15"/>
      <c r="V16" s="14" t="s">
        <v>3062</v>
      </c>
      <c r="W16" s="14" t="s">
        <v>3199</v>
      </c>
      <c r="X16" s="16" t="s">
        <v>44</v>
      </c>
      <c r="Y16" s="17"/>
      <c r="Z16" s="17"/>
    </row>
    <row r="17" customFormat="false" ht="58.2" hidden="false" customHeight="false" outlineLevel="0" collapsed="false">
      <c r="A17" s="14" t="s">
        <v>3200</v>
      </c>
      <c r="B17" s="15" t="s">
        <v>521</v>
      </c>
      <c r="C17" s="15" t="s">
        <v>2991</v>
      </c>
      <c r="D17" s="14" t="s">
        <v>3201</v>
      </c>
      <c r="E17" s="15" t="s">
        <v>3202</v>
      </c>
      <c r="F17" s="15" t="s">
        <v>3203</v>
      </c>
      <c r="G17" s="15" t="s">
        <v>3204</v>
      </c>
      <c r="H17" s="14" t="s">
        <v>3205</v>
      </c>
      <c r="I17" s="15"/>
      <c r="J17" s="14" t="s">
        <v>3206</v>
      </c>
      <c r="K17" s="15" t="s">
        <v>3207</v>
      </c>
      <c r="L17" s="15" t="s">
        <v>3208</v>
      </c>
      <c r="M17" s="15" t="s">
        <v>3209</v>
      </c>
      <c r="N17" s="15" t="s">
        <v>3189</v>
      </c>
      <c r="O17" s="15"/>
      <c r="P17" s="14" t="s">
        <v>3210</v>
      </c>
      <c r="Q17" s="15" t="s">
        <v>3211</v>
      </c>
      <c r="R17" s="15" t="s">
        <v>3212</v>
      </c>
      <c r="S17" s="15" t="s">
        <v>3213</v>
      </c>
      <c r="T17" s="15" t="s">
        <v>3214</v>
      </c>
      <c r="U17" s="15"/>
      <c r="V17" s="14" t="s">
        <v>3215</v>
      </c>
      <c r="W17" s="14" t="s">
        <v>3216</v>
      </c>
      <c r="X17" s="16" t="s">
        <v>44</v>
      </c>
      <c r="Y17" s="17"/>
      <c r="Z17" s="17"/>
    </row>
    <row r="18" customFormat="false" ht="44" hidden="false" customHeight="false" outlineLevel="0" collapsed="false">
      <c r="A18" s="14" t="s">
        <v>3217</v>
      </c>
      <c r="B18" s="15" t="s">
        <v>521</v>
      </c>
      <c r="C18" s="15" t="s">
        <v>3010</v>
      </c>
      <c r="D18" s="14" t="s">
        <v>3218</v>
      </c>
      <c r="E18" s="15" t="s">
        <v>3219</v>
      </c>
      <c r="F18" s="15" t="s">
        <v>3220</v>
      </c>
      <c r="G18" s="15" t="s">
        <v>3221</v>
      </c>
      <c r="H18" s="15" t="s">
        <v>3189</v>
      </c>
      <c r="I18" s="15"/>
      <c r="J18" s="14" t="s">
        <v>3222</v>
      </c>
      <c r="K18" s="15" t="s">
        <v>3223</v>
      </c>
      <c r="L18" s="15" t="s">
        <v>3224</v>
      </c>
      <c r="M18" s="15" t="s">
        <v>3225</v>
      </c>
      <c r="N18" s="15" t="s">
        <v>3189</v>
      </c>
      <c r="O18" s="15"/>
      <c r="P18" s="14" t="s">
        <v>3226</v>
      </c>
      <c r="Q18" s="15" t="s">
        <v>3227</v>
      </c>
      <c r="R18" s="15" t="s">
        <v>3228</v>
      </c>
      <c r="S18" s="15" t="s">
        <v>3229</v>
      </c>
      <c r="T18" s="15" t="s">
        <v>2948</v>
      </c>
      <c r="U18" s="15"/>
      <c r="V18" s="14" t="s">
        <v>3230</v>
      </c>
      <c r="W18" s="15"/>
      <c r="X18" s="16" t="s">
        <v>44</v>
      </c>
      <c r="Y18" s="17"/>
      <c r="Z18" s="17"/>
    </row>
    <row r="19" customFormat="false" ht="58.2" hidden="false" customHeight="false" outlineLevel="0" collapsed="false">
      <c r="A19" s="14" t="s">
        <v>3231</v>
      </c>
      <c r="B19" s="15" t="s">
        <v>521</v>
      </c>
      <c r="C19" s="15" t="s">
        <v>3029</v>
      </c>
      <c r="D19" s="14" t="s">
        <v>3232</v>
      </c>
      <c r="E19" s="15" t="s">
        <v>3233</v>
      </c>
      <c r="F19" s="15" t="s">
        <v>3234</v>
      </c>
      <c r="G19" s="15" t="s">
        <v>3235</v>
      </c>
      <c r="H19" s="15" t="s">
        <v>3236</v>
      </c>
      <c r="I19" s="15"/>
      <c r="J19" s="14" t="s">
        <v>3237</v>
      </c>
      <c r="K19" s="15" t="s">
        <v>3238</v>
      </c>
      <c r="L19" s="15" t="s">
        <v>3239</v>
      </c>
      <c r="M19" s="15" t="s">
        <v>3240</v>
      </c>
      <c r="N19" s="14" t="s">
        <v>3241</v>
      </c>
      <c r="O19" s="15"/>
      <c r="P19" s="14" t="s">
        <v>3242</v>
      </c>
      <c r="Q19" s="15" t="s">
        <v>3243</v>
      </c>
      <c r="R19" s="15" t="s">
        <v>3244</v>
      </c>
      <c r="S19" s="15" t="s">
        <v>3245</v>
      </c>
      <c r="T19" s="15" t="s">
        <v>3246</v>
      </c>
      <c r="U19" s="15"/>
      <c r="V19" s="14" t="s">
        <v>3247</v>
      </c>
      <c r="W19" s="15" t="s">
        <v>3248</v>
      </c>
      <c r="X19" s="16" t="s">
        <v>44</v>
      </c>
      <c r="Y19" s="17"/>
      <c r="Z19" s="17"/>
    </row>
    <row r="20" customFormat="false" ht="44" hidden="false" customHeight="false" outlineLevel="0" collapsed="false">
      <c r="A20" s="14" t="s">
        <v>3249</v>
      </c>
      <c r="B20" s="15" t="s">
        <v>564</v>
      </c>
      <c r="C20" s="15" t="s">
        <v>2932</v>
      </c>
      <c r="D20" s="14" t="s">
        <v>3250</v>
      </c>
      <c r="E20" s="15" t="s">
        <v>3251</v>
      </c>
      <c r="F20" s="15" t="s">
        <v>3252</v>
      </c>
      <c r="G20" s="15" t="s">
        <v>3253</v>
      </c>
      <c r="H20" s="15" t="s">
        <v>3254</v>
      </c>
      <c r="I20" s="15" t="s">
        <v>2943</v>
      </c>
      <c r="J20" s="14" t="s">
        <v>3255</v>
      </c>
      <c r="K20" s="15" t="s">
        <v>3256</v>
      </c>
      <c r="L20" s="15" t="s">
        <v>3257</v>
      </c>
      <c r="M20" s="15" t="s">
        <v>3258</v>
      </c>
      <c r="N20" s="15" t="s">
        <v>3259</v>
      </c>
      <c r="O20" s="15" t="s">
        <v>2943</v>
      </c>
      <c r="P20" s="14" t="s">
        <v>3260</v>
      </c>
      <c r="Q20" s="15" t="s">
        <v>3261</v>
      </c>
      <c r="R20" s="15" t="s">
        <v>3262</v>
      </c>
      <c r="S20" s="15" t="s">
        <v>3263</v>
      </c>
      <c r="T20" s="15" t="s">
        <v>2948</v>
      </c>
      <c r="U20" s="15" t="s">
        <v>2943</v>
      </c>
      <c r="V20" s="14" t="s">
        <v>2949</v>
      </c>
      <c r="W20" s="15" t="s">
        <v>3264</v>
      </c>
      <c r="X20" s="16" t="s">
        <v>44</v>
      </c>
      <c r="Y20" s="17"/>
      <c r="Z20" s="17"/>
    </row>
    <row r="21" customFormat="false" ht="44" hidden="false" customHeight="false" outlineLevel="0" collapsed="false">
      <c r="A21" s="14" t="s">
        <v>3265</v>
      </c>
      <c r="B21" s="15" t="s">
        <v>564</v>
      </c>
      <c r="C21" s="15" t="s">
        <v>2952</v>
      </c>
      <c r="D21" s="14" t="s">
        <v>3266</v>
      </c>
      <c r="E21" s="15" t="s">
        <v>3267</v>
      </c>
      <c r="F21" s="15" t="s">
        <v>3268</v>
      </c>
      <c r="G21" s="15" t="s">
        <v>3269</v>
      </c>
      <c r="H21" s="15" t="s">
        <v>3270</v>
      </c>
      <c r="I21" s="15"/>
      <c r="J21" s="14" t="s">
        <v>3271</v>
      </c>
      <c r="K21" s="15" t="s">
        <v>3272</v>
      </c>
      <c r="L21" s="15" t="s">
        <v>3273</v>
      </c>
      <c r="M21" s="15" t="s">
        <v>3274</v>
      </c>
      <c r="N21" s="14" t="s">
        <v>3275</v>
      </c>
      <c r="O21" s="15"/>
      <c r="P21" s="14" t="s">
        <v>3276</v>
      </c>
      <c r="Q21" s="15" t="s">
        <v>3277</v>
      </c>
      <c r="R21" s="15" t="s">
        <v>3278</v>
      </c>
      <c r="S21" s="15" t="s">
        <v>3279</v>
      </c>
      <c r="T21" s="14" t="s">
        <v>3280</v>
      </c>
      <c r="U21" s="15"/>
      <c r="V21" s="14" t="s">
        <v>3281</v>
      </c>
      <c r="W21" s="14" t="s">
        <v>3282</v>
      </c>
      <c r="X21" s="16" t="s">
        <v>44</v>
      </c>
      <c r="Y21" s="17"/>
      <c r="Z21" s="17"/>
    </row>
    <row r="22" customFormat="false" ht="44" hidden="false" customHeight="false" outlineLevel="0" collapsed="false">
      <c r="A22" s="14" t="s">
        <v>3283</v>
      </c>
      <c r="B22" s="15" t="s">
        <v>564</v>
      </c>
      <c r="C22" s="15" t="s">
        <v>2971</v>
      </c>
      <c r="D22" s="14" t="s">
        <v>3284</v>
      </c>
      <c r="E22" s="15" t="s">
        <v>3285</v>
      </c>
      <c r="F22" s="15" t="s">
        <v>3286</v>
      </c>
      <c r="G22" s="15" t="s">
        <v>3287</v>
      </c>
      <c r="H22" s="14" t="s">
        <v>3288</v>
      </c>
      <c r="I22" s="15"/>
      <c r="J22" s="14" t="s">
        <v>3289</v>
      </c>
      <c r="K22" s="14" t="s">
        <v>3290</v>
      </c>
      <c r="L22" s="15" t="s">
        <v>3291</v>
      </c>
      <c r="M22" s="14" t="s">
        <v>3292</v>
      </c>
      <c r="N22" s="15" t="s">
        <v>3293</v>
      </c>
      <c r="O22" s="15" t="s">
        <v>2987</v>
      </c>
      <c r="P22" s="14" t="s">
        <v>3294</v>
      </c>
      <c r="Q22" s="15" t="s">
        <v>3295</v>
      </c>
      <c r="R22" s="15" t="s">
        <v>3296</v>
      </c>
      <c r="S22" s="15" t="s">
        <v>3297</v>
      </c>
      <c r="T22" s="15" t="s">
        <v>3298</v>
      </c>
      <c r="U22" s="15"/>
      <c r="V22" s="14" t="s">
        <v>3299</v>
      </c>
      <c r="W22" s="14" t="s">
        <v>3300</v>
      </c>
      <c r="X22" s="16" t="s">
        <v>44</v>
      </c>
      <c r="Y22" s="17"/>
      <c r="Z22" s="17"/>
    </row>
    <row r="23" customFormat="false" ht="44" hidden="false" customHeight="false" outlineLevel="0" collapsed="false">
      <c r="A23" s="14" t="s">
        <v>3301</v>
      </c>
      <c r="B23" s="15" t="s">
        <v>564</v>
      </c>
      <c r="C23" s="15" t="s">
        <v>2991</v>
      </c>
      <c r="D23" s="14" t="s">
        <v>3302</v>
      </c>
      <c r="E23" s="15" t="s">
        <v>3303</v>
      </c>
      <c r="F23" s="15" t="s">
        <v>3304</v>
      </c>
      <c r="G23" s="15" t="s">
        <v>3305</v>
      </c>
      <c r="H23" s="14" t="s">
        <v>3306</v>
      </c>
      <c r="I23" s="15"/>
      <c r="J23" s="14" t="s">
        <v>3307</v>
      </c>
      <c r="K23" s="15" t="s">
        <v>3308</v>
      </c>
      <c r="L23" s="15" t="s">
        <v>3309</v>
      </c>
      <c r="M23" s="15" t="s">
        <v>3310</v>
      </c>
      <c r="N23" s="15" t="s">
        <v>3311</v>
      </c>
      <c r="O23" s="15"/>
      <c r="P23" s="14" t="s">
        <v>3312</v>
      </c>
      <c r="Q23" s="15" t="s">
        <v>3313</v>
      </c>
      <c r="R23" s="15" t="s">
        <v>3314</v>
      </c>
      <c r="S23" s="15" t="s">
        <v>3315</v>
      </c>
      <c r="T23" s="14" t="s">
        <v>3316</v>
      </c>
      <c r="U23" s="15"/>
      <c r="V23" s="14" t="s">
        <v>3317</v>
      </c>
      <c r="W23" s="14" t="s">
        <v>3318</v>
      </c>
      <c r="X23" s="16" t="s">
        <v>44</v>
      </c>
      <c r="Y23" s="17"/>
      <c r="Z23" s="17"/>
    </row>
    <row r="24" customFormat="false" ht="44" hidden="false" customHeight="false" outlineLevel="0" collapsed="false">
      <c r="A24" s="14" t="s">
        <v>3319</v>
      </c>
      <c r="B24" s="15" t="s">
        <v>564</v>
      </c>
      <c r="C24" s="15" t="s">
        <v>3010</v>
      </c>
      <c r="D24" s="14" t="s">
        <v>3320</v>
      </c>
      <c r="E24" s="15" t="s">
        <v>3321</v>
      </c>
      <c r="F24" s="15" t="s">
        <v>3322</v>
      </c>
      <c r="G24" s="15" t="s">
        <v>3323</v>
      </c>
      <c r="H24" s="15" t="s">
        <v>3324</v>
      </c>
      <c r="I24" s="15"/>
      <c r="J24" s="14" t="s">
        <v>3325</v>
      </c>
      <c r="K24" s="15" t="s">
        <v>3326</v>
      </c>
      <c r="L24" s="15" t="s">
        <v>3327</v>
      </c>
      <c r="M24" s="15" t="s">
        <v>3328</v>
      </c>
      <c r="N24" s="14" t="s">
        <v>3329</v>
      </c>
      <c r="O24" s="15"/>
      <c r="P24" s="14" t="s">
        <v>3330</v>
      </c>
      <c r="Q24" s="15" t="s">
        <v>3331</v>
      </c>
      <c r="R24" s="15" t="s">
        <v>3332</v>
      </c>
      <c r="S24" s="15" t="s">
        <v>3333</v>
      </c>
      <c r="T24" s="15" t="s">
        <v>3334</v>
      </c>
      <c r="U24" s="15"/>
      <c r="V24" s="14" t="s">
        <v>3335</v>
      </c>
      <c r="W24" s="15"/>
      <c r="X24" s="16" t="s">
        <v>44</v>
      </c>
      <c r="Y24" s="17"/>
      <c r="Z24" s="17"/>
    </row>
    <row r="25" customFormat="false" ht="58.2" hidden="false" customHeight="false" outlineLevel="0" collapsed="false">
      <c r="A25" s="14" t="s">
        <v>3336</v>
      </c>
      <c r="B25" s="15" t="s">
        <v>564</v>
      </c>
      <c r="C25" s="15" t="s">
        <v>3029</v>
      </c>
      <c r="D25" s="14" t="s">
        <v>3337</v>
      </c>
      <c r="E25" s="15" t="s">
        <v>3338</v>
      </c>
      <c r="F25" s="15" t="s">
        <v>3339</v>
      </c>
      <c r="G25" s="15" t="s">
        <v>3340</v>
      </c>
      <c r="H25" s="14" t="s">
        <v>3341</v>
      </c>
      <c r="I25" s="15"/>
      <c r="J25" s="14" t="s">
        <v>3342</v>
      </c>
      <c r="K25" s="15" t="s">
        <v>3343</v>
      </c>
      <c r="L25" s="15" t="s">
        <v>3344</v>
      </c>
      <c r="M25" s="15" t="s">
        <v>3345</v>
      </c>
      <c r="N25" s="15" t="s">
        <v>2948</v>
      </c>
      <c r="O25" s="15"/>
      <c r="P25" s="14" t="s">
        <v>3346</v>
      </c>
      <c r="Q25" s="14" t="s">
        <v>3347</v>
      </c>
      <c r="R25" s="15" t="s">
        <v>3348</v>
      </c>
      <c r="S25" s="15" t="s">
        <v>3349</v>
      </c>
      <c r="T25" s="15" t="s">
        <v>3350</v>
      </c>
      <c r="U25" s="15"/>
      <c r="V25" s="14" t="s">
        <v>3351</v>
      </c>
      <c r="W25" s="15" t="s">
        <v>3352</v>
      </c>
      <c r="X25" s="16" t="s">
        <v>44</v>
      </c>
      <c r="Y25" s="17"/>
      <c r="Z25" s="17"/>
    </row>
    <row r="26" customFormat="false" ht="44" hidden="false" customHeight="false" outlineLevel="0" collapsed="false">
      <c r="A26" s="14" t="s">
        <v>3353</v>
      </c>
      <c r="B26" s="15" t="s">
        <v>606</v>
      </c>
      <c r="C26" s="15" t="s">
        <v>2932</v>
      </c>
      <c r="D26" s="14" t="s">
        <v>3354</v>
      </c>
      <c r="E26" s="15" t="s">
        <v>3355</v>
      </c>
      <c r="F26" s="15" t="s">
        <v>3356</v>
      </c>
      <c r="G26" s="15" t="s">
        <v>3357</v>
      </c>
      <c r="H26" s="14" t="s">
        <v>3358</v>
      </c>
      <c r="I26" s="15"/>
      <c r="J26" s="14" t="s">
        <v>3359</v>
      </c>
      <c r="K26" s="15" t="s">
        <v>3360</v>
      </c>
      <c r="L26" s="15" t="s">
        <v>3361</v>
      </c>
      <c r="M26" s="15" t="s">
        <v>3362</v>
      </c>
      <c r="N26" s="15" t="s">
        <v>3298</v>
      </c>
      <c r="O26" s="15" t="s">
        <v>2943</v>
      </c>
      <c r="P26" s="14" t="s">
        <v>3363</v>
      </c>
      <c r="Q26" s="15" t="s">
        <v>3364</v>
      </c>
      <c r="R26" s="15" t="s">
        <v>3365</v>
      </c>
      <c r="S26" s="15" t="s">
        <v>3366</v>
      </c>
      <c r="T26" s="15" t="s">
        <v>3367</v>
      </c>
      <c r="U26" s="15" t="s">
        <v>2943</v>
      </c>
      <c r="V26" s="14" t="s">
        <v>3299</v>
      </c>
      <c r="W26" s="14" t="s">
        <v>3368</v>
      </c>
      <c r="X26" s="16" t="s">
        <v>44</v>
      </c>
      <c r="Y26" s="17"/>
      <c r="Z26" s="17"/>
    </row>
    <row r="27" customFormat="false" ht="44" hidden="false" customHeight="false" outlineLevel="0" collapsed="false">
      <c r="A27" s="14" t="s">
        <v>3369</v>
      </c>
      <c r="B27" s="15" t="s">
        <v>606</v>
      </c>
      <c r="C27" s="15" t="s">
        <v>2952</v>
      </c>
      <c r="D27" s="14" t="s">
        <v>3370</v>
      </c>
      <c r="E27" s="15" t="s">
        <v>3371</v>
      </c>
      <c r="F27" s="15" t="s">
        <v>3372</v>
      </c>
      <c r="G27" s="15" t="s">
        <v>3373</v>
      </c>
      <c r="H27" s="14" t="s">
        <v>3374</v>
      </c>
      <c r="I27" s="15"/>
      <c r="J27" s="14" t="s">
        <v>3375</v>
      </c>
      <c r="K27" s="15" t="s">
        <v>3376</v>
      </c>
      <c r="L27" s="15" t="s">
        <v>3377</v>
      </c>
      <c r="M27" s="15" t="s">
        <v>3378</v>
      </c>
      <c r="N27" s="14" t="s">
        <v>3379</v>
      </c>
      <c r="O27" s="15"/>
      <c r="P27" s="14" t="s">
        <v>3380</v>
      </c>
      <c r="Q27" s="15" t="s">
        <v>3381</v>
      </c>
      <c r="R27" s="15" t="s">
        <v>3382</v>
      </c>
      <c r="S27" s="15" t="s">
        <v>3383</v>
      </c>
      <c r="T27" s="15" t="s">
        <v>2948</v>
      </c>
      <c r="U27" s="15"/>
      <c r="V27" s="14" t="s">
        <v>3384</v>
      </c>
      <c r="W27" s="15" t="s">
        <v>3385</v>
      </c>
      <c r="X27" s="16" t="s">
        <v>44</v>
      </c>
      <c r="Y27" s="17"/>
      <c r="Z27" s="17"/>
    </row>
    <row r="28" customFormat="false" ht="44" hidden="false" customHeight="false" outlineLevel="0" collapsed="false">
      <c r="A28" s="14" t="s">
        <v>3386</v>
      </c>
      <c r="B28" s="15" t="s">
        <v>606</v>
      </c>
      <c r="C28" s="15" t="s">
        <v>2971</v>
      </c>
      <c r="D28" s="14" t="s">
        <v>3387</v>
      </c>
      <c r="E28" s="15" t="s">
        <v>3388</v>
      </c>
      <c r="F28" s="15" t="s">
        <v>3389</v>
      </c>
      <c r="G28" s="15" t="s">
        <v>3390</v>
      </c>
      <c r="H28" s="14" t="s">
        <v>3391</v>
      </c>
      <c r="I28" s="15"/>
      <c r="J28" s="14" t="s">
        <v>3392</v>
      </c>
      <c r="K28" s="15" t="s">
        <v>3393</v>
      </c>
      <c r="L28" s="15" t="s">
        <v>3394</v>
      </c>
      <c r="M28" s="15" t="s">
        <v>3395</v>
      </c>
      <c r="N28" s="15" t="s">
        <v>3396</v>
      </c>
      <c r="O28" s="15" t="s">
        <v>2987</v>
      </c>
      <c r="P28" s="14" t="s">
        <v>3397</v>
      </c>
      <c r="Q28" s="15" t="s">
        <v>3398</v>
      </c>
      <c r="R28" s="15" t="s">
        <v>3399</v>
      </c>
      <c r="S28" s="15" t="s">
        <v>3400</v>
      </c>
      <c r="T28" s="15" t="s">
        <v>3401</v>
      </c>
      <c r="U28" s="15"/>
      <c r="V28" s="14" t="s">
        <v>2949</v>
      </c>
      <c r="W28" s="14" t="s">
        <v>3402</v>
      </c>
      <c r="X28" s="16" t="s">
        <v>44</v>
      </c>
      <c r="Y28" s="17"/>
      <c r="Z28" s="17"/>
    </row>
    <row r="29" customFormat="false" ht="44" hidden="false" customHeight="false" outlineLevel="0" collapsed="false">
      <c r="A29" s="14" t="s">
        <v>3403</v>
      </c>
      <c r="B29" s="15" t="s">
        <v>606</v>
      </c>
      <c r="C29" s="15" t="s">
        <v>2991</v>
      </c>
      <c r="D29" s="14" t="s">
        <v>3404</v>
      </c>
      <c r="E29" s="15" t="s">
        <v>3405</v>
      </c>
      <c r="F29" s="15" t="s">
        <v>3406</v>
      </c>
      <c r="G29" s="15" t="s">
        <v>3407</v>
      </c>
      <c r="H29" s="14" t="s">
        <v>3408</v>
      </c>
      <c r="I29" s="15"/>
      <c r="J29" s="14" t="s">
        <v>3409</v>
      </c>
      <c r="K29" s="15" t="s">
        <v>3410</v>
      </c>
      <c r="L29" s="15" t="s">
        <v>3411</v>
      </c>
      <c r="M29" s="15" t="s">
        <v>3412</v>
      </c>
      <c r="N29" s="15" t="s">
        <v>2948</v>
      </c>
      <c r="O29" s="15"/>
      <c r="P29" s="14" t="s">
        <v>3413</v>
      </c>
      <c r="Q29" s="15" t="s">
        <v>3414</v>
      </c>
      <c r="R29" s="15" t="s">
        <v>3415</v>
      </c>
      <c r="S29" s="15" t="s">
        <v>3416</v>
      </c>
      <c r="T29" s="14" t="s">
        <v>3417</v>
      </c>
      <c r="U29" s="15"/>
      <c r="V29" s="14" t="s">
        <v>3418</v>
      </c>
      <c r="W29" s="14" t="s">
        <v>3419</v>
      </c>
      <c r="X29" s="16" t="s">
        <v>44</v>
      </c>
      <c r="Y29" s="17"/>
      <c r="Z29" s="17"/>
    </row>
    <row r="30" customFormat="false" ht="44" hidden="false" customHeight="false" outlineLevel="0" collapsed="false">
      <c r="A30" s="14" t="s">
        <v>3420</v>
      </c>
      <c r="B30" s="15" t="s">
        <v>606</v>
      </c>
      <c r="C30" s="15" t="s">
        <v>3010</v>
      </c>
      <c r="D30" s="14" t="s">
        <v>3421</v>
      </c>
      <c r="E30" s="15" t="s">
        <v>3422</v>
      </c>
      <c r="F30" s="15" t="s">
        <v>3423</v>
      </c>
      <c r="G30" s="15" t="s">
        <v>3424</v>
      </c>
      <c r="H30" s="14" t="s">
        <v>3425</v>
      </c>
      <c r="I30" s="15"/>
      <c r="J30" s="14" t="s">
        <v>3426</v>
      </c>
      <c r="K30" s="15" t="s">
        <v>3427</v>
      </c>
      <c r="L30" s="15" t="s">
        <v>3428</v>
      </c>
      <c r="M30" s="15" t="s">
        <v>3429</v>
      </c>
      <c r="N30" s="15" t="s">
        <v>3006</v>
      </c>
      <c r="O30" s="15"/>
      <c r="P30" s="14" t="s">
        <v>3430</v>
      </c>
      <c r="Q30" s="15" t="s">
        <v>3431</v>
      </c>
      <c r="R30" s="15" t="s">
        <v>3432</v>
      </c>
      <c r="S30" s="15" t="s">
        <v>3433</v>
      </c>
      <c r="T30" s="15" t="s">
        <v>3298</v>
      </c>
      <c r="U30" s="15"/>
      <c r="V30" s="14" t="s">
        <v>3434</v>
      </c>
      <c r="W30" s="15"/>
      <c r="X30" s="16" t="s">
        <v>44</v>
      </c>
      <c r="Y30" s="17"/>
      <c r="Z30" s="17"/>
    </row>
    <row r="31" customFormat="false" ht="44" hidden="false" customHeight="false" outlineLevel="0" collapsed="false">
      <c r="A31" s="14" t="s">
        <v>3435</v>
      </c>
      <c r="B31" s="15" t="s">
        <v>606</v>
      </c>
      <c r="C31" s="15" t="s">
        <v>3029</v>
      </c>
      <c r="D31" s="14" t="s">
        <v>3436</v>
      </c>
      <c r="E31" s="15" t="s">
        <v>3437</v>
      </c>
      <c r="F31" s="15" t="s">
        <v>3438</v>
      </c>
      <c r="G31" s="14" t="s">
        <v>3439</v>
      </c>
      <c r="H31" s="14" t="s">
        <v>3440</v>
      </c>
      <c r="I31" s="15"/>
      <c r="J31" s="14" t="s">
        <v>3441</v>
      </c>
      <c r="K31" s="15" t="s">
        <v>3442</v>
      </c>
      <c r="L31" s="15" t="s">
        <v>3443</v>
      </c>
      <c r="M31" s="15" t="s">
        <v>3444</v>
      </c>
      <c r="N31" s="14" t="s">
        <v>3445</v>
      </c>
      <c r="O31" s="15"/>
      <c r="P31" s="14" t="s">
        <v>3446</v>
      </c>
      <c r="Q31" s="15" t="s">
        <v>3447</v>
      </c>
      <c r="R31" s="15" t="s">
        <v>3448</v>
      </c>
      <c r="S31" s="15" t="s">
        <v>3449</v>
      </c>
      <c r="T31" s="14" t="s">
        <v>3450</v>
      </c>
      <c r="U31" s="15"/>
      <c r="V31" s="14" t="s">
        <v>3451</v>
      </c>
      <c r="W31" s="15" t="s">
        <v>3452</v>
      </c>
      <c r="X31" s="16" t="s">
        <v>44</v>
      </c>
      <c r="Y31" s="17"/>
      <c r="Z31" s="17"/>
    </row>
  </sheetData>
  <autoFilter ref="A1:Z31"/>
  <dataValidations count="1">
    <dataValidation allowBlank="false" errorStyle="stop" operator="between" showDropDown="false" showErrorMessage="false" showInputMessage="false" sqref="X2:X3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.8"/>
    <col collapsed="false" customWidth="true" hidden="false" outlineLevel="0" max="4" min="3" style="0" width="55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12" t="s">
        <v>148</v>
      </c>
      <c r="B1" s="13" t="s">
        <v>3453</v>
      </c>
      <c r="C1" s="13" t="s">
        <v>3454</v>
      </c>
      <c r="D1" s="13" t="s">
        <v>159</v>
      </c>
      <c r="E1" s="13" t="s">
        <v>160</v>
      </c>
      <c r="F1" s="13" t="s">
        <v>161</v>
      </c>
      <c r="G1" s="13" t="s">
        <v>162</v>
      </c>
    </row>
    <row r="2" customFormat="false" ht="44" hidden="false" customHeight="false" outlineLevel="0" collapsed="false">
      <c r="A2" s="14" t="s">
        <v>3455</v>
      </c>
      <c r="B2" s="15" t="s">
        <v>3456</v>
      </c>
      <c r="C2" s="15" t="s">
        <v>3457</v>
      </c>
      <c r="D2" s="15" t="s">
        <v>3458</v>
      </c>
      <c r="E2" s="16" t="s">
        <v>44</v>
      </c>
      <c r="F2" s="17"/>
      <c r="G2" s="17"/>
    </row>
    <row r="3" customFormat="false" ht="29.85" hidden="false" customHeight="false" outlineLevel="0" collapsed="false">
      <c r="A3" s="14" t="s">
        <v>3459</v>
      </c>
      <c r="B3" s="15" t="s">
        <v>3460</v>
      </c>
      <c r="C3" s="15" t="s">
        <v>3461</v>
      </c>
      <c r="D3" s="15"/>
      <c r="E3" s="16" t="s">
        <v>44</v>
      </c>
      <c r="F3" s="17"/>
      <c r="G3" s="17"/>
    </row>
    <row r="4" customFormat="false" ht="29.85" hidden="false" customHeight="false" outlineLevel="0" collapsed="false">
      <c r="A4" s="14" t="s">
        <v>3462</v>
      </c>
      <c r="B4" s="15" t="s">
        <v>3463</v>
      </c>
      <c r="C4" s="15" t="s">
        <v>3464</v>
      </c>
      <c r="D4" s="15"/>
      <c r="E4" s="16" t="s">
        <v>44</v>
      </c>
      <c r="F4" s="17"/>
      <c r="G4" s="17"/>
    </row>
    <row r="5" customFormat="false" ht="29.85" hidden="false" customHeight="false" outlineLevel="0" collapsed="false">
      <c r="A5" s="14" t="s">
        <v>3465</v>
      </c>
      <c r="B5" s="15" t="s">
        <v>3466</v>
      </c>
      <c r="C5" s="15" t="s">
        <v>3467</v>
      </c>
      <c r="D5" s="15"/>
      <c r="E5" s="16" t="s">
        <v>44</v>
      </c>
      <c r="F5" s="17"/>
      <c r="G5" s="17"/>
    </row>
    <row r="6" customFormat="false" ht="29.85" hidden="false" customHeight="false" outlineLevel="0" collapsed="false">
      <c r="A6" s="14" t="s">
        <v>3468</v>
      </c>
      <c r="B6" s="14" t="s">
        <v>3469</v>
      </c>
      <c r="C6" s="15" t="s">
        <v>3470</v>
      </c>
      <c r="D6" s="15" t="s">
        <v>3471</v>
      </c>
      <c r="E6" s="16" t="s">
        <v>44</v>
      </c>
      <c r="F6" s="17"/>
      <c r="G6" s="17"/>
    </row>
    <row r="7" customFormat="false" ht="25.35" hidden="false" customHeight="false" outlineLevel="0" collapsed="false">
      <c r="A7" s="14" t="s">
        <v>3472</v>
      </c>
      <c r="B7" s="15" t="s">
        <v>3473</v>
      </c>
      <c r="C7" s="15" t="s">
        <v>3474</v>
      </c>
      <c r="D7" s="15"/>
      <c r="E7" s="16" t="s">
        <v>44</v>
      </c>
      <c r="F7" s="17"/>
      <c r="G7" s="17"/>
    </row>
    <row r="8" customFormat="false" ht="29.85" hidden="false" customHeight="false" outlineLevel="0" collapsed="false">
      <c r="A8" s="14" t="s">
        <v>3475</v>
      </c>
      <c r="B8" s="15" t="s">
        <v>3476</v>
      </c>
      <c r="C8" s="15" t="s">
        <v>3477</v>
      </c>
      <c r="D8" s="15"/>
      <c r="E8" s="16" t="s">
        <v>44</v>
      </c>
      <c r="F8" s="17"/>
      <c r="G8" s="17"/>
    </row>
    <row r="9" customFormat="false" ht="29.85" hidden="false" customHeight="false" outlineLevel="0" collapsed="false">
      <c r="A9" s="14" t="s">
        <v>3478</v>
      </c>
      <c r="B9" s="15" t="s">
        <v>3479</v>
      </c>
      <c r="C9" s="15" t="s">
        <v>3480</v>
      </c>
      <c r="D9" s="15" t="s">
        <v>3481</v>
      </c>
      <c r="E9" s="16" t="s">
        <v>44</v>
      </c>
      <c r="F9" s="17"/>
      <c r="G9" s="17"/>
    </row>
    <row r="10" customFormat="false" ht="29.85" hidden="false" customHeight="false" outlineLevel="0" collapsed="false">
      <c r="A10" s="14" t="s">
        <v>3482</v>
      </c>
      <c r="B10" s="15" t="s">
        <v>3483</v>
      </c>
      <c r="C10" s="15" t="s">
        <v>3484</v>
      </c>
      <c r="D10" s="15"/>
      <c r="E10" s="16" t="s">
        <v>44</v>
      </c>
      <c r="F10" s="17"/>
      <c r="G10" s="17"/>
    </row>
    <row r="11" customFormat="false" ht="29.85" hidden="false" customHeight="false" outlineLevel="0" collapsed="false">
      <c r="A11" s="14" t="s">
        <v>3485</v>
      </c>
      <c r="B11" s="14" t="s">
        <v>3486</v>
      </c>
      <c r="C11" s="15" t="s">
        <v>3487</v>
      </c>
      <c r="D11" s="15"/>
      <c r="E11" s="16" t="s">
        <v>44</v>
      </c>
      <c r="F11" s="17"/>
      <c r="G11" s="17"/>
    </row>
    <row r="12" customFormat="false" ht="44" hidden="false" customHeight="false" outlineLevel="0" collapsed="false">
      <c r="A12" s="14" t="s">
        <v>3488</v>
      </c>
      <c r="B12" s="15" t="s">
        <v>3489</v>
      </c>
      <c r="C12" s="15" t="s">
        <v>3490</v>
      </c>
      <c r="D12" s="15" t="s">
        <v>3491</v>
      </c>
      <c r="E12" s="16" t="s">
        <v>44</v>
      </c>
      <c r="F12" s="17"/>
      <c r="G12" s="17"/>
    </row>
    <row r="13" customFormat="false" ht="29.85" hidden="false" customHeight="false" outlineLevel="0" collapsed="false">
      <c r="A13" s="14" t="s">
        <v>3492</v>
      </c>
      <c r="B13" s="15" t="s">
        <v>3493</v>
      </c>
      <c r="C13" s="15" t="s">
        <v>3494</v>
      </c>
      <c r="D13" s="15" t="s">
        <v>3495</v>
      </c>
      <c r="E13" s="16" t="s">
        <v>44</v>
      </c>
      <c r="F13" s="17"/>
      <c r="G13" s="17"/>
    </row>
    <row r="14" customFormat="false" ht="44" hidden="false" customHeight="false" outlineLevel="0" collapsed="false">
      <c r="A14" s="14" t="s">
        <v>3496</v>
      </c>
      <c r="B14" s="15" t="s">
        <v>3497</v>
      </c>
      <c r="C14" s="15" t="s">
        <v>3498</v>
      </c>
      <c r="D14" s="15" t="s">
        <v>3499</v>
      </c>
      <c r="E14" s="16" t="s">
        <v>44</v>
      </c>
      <c r="F14" s="17"/>
      <c r="G14" s="17"/>
    </row>
    <row r="15" customFormat="false" ht="29.85" hidden="false" customHeight="false" outlineLevel="0" collapsed="false">
      <c r="A15" s="14" t="s">
        <v>3500</v>
      </c>
      <c r="B15" s="15" t="s">
        <v>3501</v>
      </c>
      <c r="C15" s="15" t="s">
        <v>3502</v>
      </c>
      <c r="D15" s="15"/>
      <c r="E15" s="16" t="s">
        <v>44</v>
      </c>
      <c r="F15" s="17"/>
      <c r="G15" s="17"/>
    </row>
    <row r="16" customFormat="false" ht="29.85" hidden="false" customHeight="false" outlineLevel="0" collapsed="false">
      <c r="A16" s="14" t="s">
        <v>3503</v>
      </c>
      <c r="B16" s="15" t="s">
        <v>3504</v>
      </c>
      <c r="C16" s="15" t="s">
        <v>3505</v>
      </c>
      <c r="D16" s="15"/>
      <c r="E16" s="16" t="s">
        <v>44</v>
      </c>
      <c r="F16" s="17"/>
      <c r="G16" s="17"/>
    </row>
    <row r="17" customFormat="false" ht="29.85" hidden="false" customHeight="false" outlineLevel="0" collapsed="false">
      <c r="A17" s="14" t="s">
        <v>3506</v>
      </c>
      <c r="B17" s="15" t="s">
        <v>3507</v>
      </c>
      <c r="C17" s="15" t="s">
        <v>3508</v>
      </c>
      <c r="D17" s="15" t="s">
        <v>3509</v>
      </c>
      <c r="E17" s="16" t="s">
        <v>44</v>
      </c>
      <c r="F17" s="17"/>
      <c r="G17" s="17"/>
    </row>
  </sheetData>
  <autoFilter ref="A1:G17"/>
  <dataValidations count="1">
    <dataValidation allowBlank="false" errorStyle="stop" operator="between" showDropDown="false" showErrorMessage="false" showInputMessage="false" sqref="E2:E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.2"/>
    <col collapsed="false" customWidth="true" hidden="false" outlineLevel="0" max="4" min="4" style="0" width="14.3"/>
    <col collapsed="false" customWidth="true" hidden="false" outlineLevel="0" max="5" min="5" style="0" width="48.4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148</v>
      </c>
      <c r="B1" s="13" t="s">
        <v>3510</v>
      </c>
      <c r="C1" s="13" t="s">
        <v>38</v>
      </c>
      <c r="D1" s="13" t="s">
        <v>3511</v>
      </c>
      <c r="E1" s="13" t="s">
        <v>3512</v>
      </c>
      <c r="F1" s="13" t="s">
        <v>3513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29.85" hidden="false" customHeight="false" outlineLevel="0" collapsed="false">
      <c r="A2" s="14" t="s">
        <v>3514</v>
      </c>
      <c r="B2" s="15" t="s">
        <v>1489</v>
      </c>
      <c r="C2" s="15" t="s">
        <v>212</v>
      </c>
      <c r="D2" s="15" t="s">
        <v>3515</v>
      </c>
      <c r="E2" s="15" t="s">
        <v>3516</v>
      </c>
      <c r="F2" s="15" t="s">
        <v>3517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3518</v>
      </c>
      <c r="B3" s="15" t="s">
        <v>1489</v>
      </c>
      <c r="C3" s="15" t="s">
        <v>203</v>
      </c>
      <c r="D3" s="15" t="s">
        <v>3519</v>
      </c>
      <c r="E3" s="15" t="s">
        <v>3520</v>
      </c>
      <c r="F3" s="15" t="s">
        <v>3521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3522</v>
      </c>
      <c r="B4" s="15" t="s">
        <v>1489</v>
      </c>
      <c r="C4" s="15" t="s">
        <v>193</v>
      </c>
      <c r="D4" s="15" t="s">
        <v>3523</v>
      </c>
      <c r="E4" s="15" t="s">
        <v>3524</v>
      </c>
      <c r="F4" s="15" t="s">
        <v>3525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3526</v>
      </c>
      <c r="B5" s="15" t="s">
        <v>1489</v>
      </c>
      <c r="C5" s="15" t="s">
        <v>182</v>
      </c>
      <c r="D5" s="15" t="s">
        <v>3527</v>
      </c>
      <c r="E5" s="15" t="s">
        <v>3528</v>
      </c>
      <c r="F5" s="15" t="s">
        <v>3529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3530</v>
      </c>
      <c r="B6" s="15" t="s">
        <v>1489</v>
      </c>
      <c r="C6" s="15" t="s">
        <v>170</v>
      </c>
      <c r="D6" s="15" t="s">
        <v>3531</v>
      </c>
      <c r="E6" s="15" t="s">
        <v>3532</v>
      </c>
      <c r="F6" s="15" t="s">
        <v>3533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3534</v>
      </c>
      <c r="B7" s="15" t="s">
        <v>1489</v>
      </c>
      <c r="C7" s="15" t="s">
        <v>247</v>
      </c>
      <c r="D7" s="15" t="s">
        <v>3535</v>
      </c>
      <c r="E7" s="15" t="s">
        <v>3536</v>
      </c>
      <c r="F7" s="15" t="s">
        <v>3537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3538</v>
      </c>
      <c r="B8" s="15" t="s">
        <v>1489</v>
      </c>
      <c r="C8" s="15" t="s">
        <v>256</v>
      </c>
      <c r="D8" s="15" t="s">
        <v>3539</v>
      </c>
      <c r="E8" s="15" t="s">
        <v>3540</v>
      </c>
      <c r="F8" s="15" t="s">
        <v>3541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3542</v>
      </c>
      <c r="B9" s="15" t="s">
        <v>1489</v>
      </c>
      <c r="C9" s="15" t="s">
        <v>1042</v>
      </c>
      <c r="D9" s="15" t="s">
        <v>3543</v>
      </c>
      <c r="E9" s="15" t="s">
        <v>3544</v>
      </c>
      <c r="F9" s="15" t="s">
        <v>3545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3546</v>
      </c>
      <c r="B10" s="15" t="s">
        <v>1489</v>
      </c>
      <c r="C10" s="15" t="s">
        <v>1192</v>
      </c>
      <c r="D10" s="15" t="s">
        <v>3547</v>
      </c>
      <c r="E10" s="15" t="s">
        <v>3548</v>
      </c>
      <c r="F10" s="15" t="s">
        <v>3549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3550</v>
      </c>
      <c r="B11" s="15" t="s">
        <v>1489</v>
      </c>
      <c r="C11" s="15" t="s">
        <v>1342</v>
      </c>
      <c r="D11" s="15" t="s">
        <v>3551</v>
      </c>
      <c r="E11" s="15" t="s">
        <v>3552</v>
      </c>
      <c r="F11" s="15" t="s">
        <v>3553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3554</v>
      </c>
      <c r="B12" s="15" t="s">
        <v>3555</v>
      </c>
      <c r="C12" s="15" t="s">
        <v>3556</v>
      </c>
      <c r="D12" s="15" t="s">
        <v>3557</v>
      </c>
      <c r="E12" s="15" t="s">
        <v>3558</v>
      </c>
      <c r="F12" s="15" t="s">
        <v>3559</v>
      </c>
      <c r="G12" s="14" t="s">
        <v>3560</v>
      </c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3561</v>
      </c>
      <c r="B13" s="15" t="s">
        <v>3555</v>
      </c>
      <c r="C13" s="15" t="s">
        <v>3562</v>
      </c>
      <c r="D13" s="15" t="s">
        <v>3563</v>
      </c>
      <c r="E13" s="15" t="s">
        <v>3564</v>
      </c>
      <c r="F13" s="15" t="s">
        <v>3565</v>
      </c>
      <c r="G13" s="14" t="s">
        <v>3560</v>
      </c>
      <c r="H13" s="16" t="s">
        <v>44</v>
      </c>
      <c r="I13" s="17"/>
      <c r="J13" s="17"/>
    </row>
    <row r="14" customFormat="false" ht="29.85" hidden="false" customHeight="false" outlineLevel="0" collapsed="false">
      <c r="A14" s="14" t="s">
        <v>3566</v>
      </c>
      <c r="B14" s="15" t="s">
        <v>3567</v>
      </c>
      <c r="C14" s="15" t="s">
        <v>727</v>
      </c>
      <c r="D14" s="15" t="s">
        <v>3568</v>
      </c>
      <c r="E14" s="15" t="s">
        <v>3569</v>
      </c>
      <c r="F14" s="15" t="s">
        <v>3570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3571</v>
      </c>
      <c r="B15" s="15" t="s">
        <v>3567</v>
      </c>
      <c r="C15" s="15" t="s">
        <v>3572</v>
      </c>
      <c r="D15" s="15" t="s">
        <v>3573</v>
      </c>
      <c r="E15" s="15" t="s">
        <v>3574</v>
      </c>
      <c r="F15" s="15" t="s">
        <v>3575</v>
      </c>
      <c r="G15" s="15" t="s">
        <v>3576</v>
      </c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3577</v>
      </c>
      <c r="B16" s="15" t="s">
        <v>3567</v>
      </c>
      <c r="C16" s="15" t="s">
        <v>3578</v>
      </c>
      <c r="D16" s="15" t="s">
        <v>3579</v>
      </c>
      <c r="E16" s="15" t="s">
        <v>3580</v>
      </c>
      <c r="F16" s="15" t="s">
        <v>3581</v>
      </c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3582</v>
      </c>
      <c r="B17" s="15" t="s">
        <v>3567</v>
      </c>
      <c r="C17" s="15" t="s">
        <v>3583</v>
      </c>
      <c r="D17" s="15" t="s">
        <v>3573</v>
      </c>
      <c r="E17" s="15" t="s">
        <v>3584</v>
      </c>
      <c r="F17" s="15" t="s">
        <v>3585</v>
      </c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3586</v>
      </c>
      <c r="B18" s="15" t="s">
        <v>3567</v>
      </c>
      <c r="C18" s="15" t="s">
        <v>3587</v>
      </c>
      <c r="D18" s="15" t="s">
        <v>3588</v>
      </c>
      <c r="E18" s="15" t="s">
        <v>3589</v>
      </c>
      <c r="F18" s="15" t="s">
        <v>3590</v>
      </c>
      <c r="G18" s="15"/>
      <c r="H18" s="16" t="s">
        <v>44</v>
      </c>
      <c r="I18" s="17"/>
      <c r="J18" s="17"/>
    </row>
    <row r="19" customFormat="false" ht="29.85" hidden="false" customHeight="false" outlineLevel="0" collapsed="false">
      <c r="A19" s="14" t="s">
        <v>3591</v>
      </c>
      <c r="B19" s="15" t="s">
        <v>1490</v>
      </c>
      <c r="C19" s="14" t="s">
        <v>3592</v>
      </c>
      <c r="D19" s="15" t="s">
        <v>3593</v>
      </c>
      <c r="E19" s="15" t="s">
        <v>3594</v>
      </c>
      <c r="F19" s="15" t="s">
        <v>3595</v>
      </c>
      <c r="G19" s="15"/>
      <c r="H19" s="16" t="s">
        <v>44</v>
      </c>
      <c r="I19" s="17"/>
      <c r="J19" s="17"/>
    </row>
    <row r="20" customFormat="false" ht="29.85" hidden="false" customHeight="false" outlineLevel="0" collapsed="false">
      <c r="A20" s="14" t="s">
        <v>3596</v>
      </c>
      <c r="B20" s="15" t="s">
        <v>1490</v>
      </c>
      <c r="C20" s="14" t="s">
        <v>3597</v>
      </c>
      <c r="D20" s="15" t="s">
        <v>3598</v>
      </c>
      <c r="E20" s="15" t="s">
        <v>3599</v>
      </c>
      <c r="F20" s="15" t="s">
        <v>3600</v>
      </c>
      <c r="G20" s="15"/>
      <c r="H20" s="16" t="s">
        <v>44</v>
      </c>
      <c r="I20" s="17"/>
      <c r="J20" s="17"/>
    </row>
    <row r="21" customFormat="false" ht="29.85" hidden="false" customHeight="false" outlineLevel="0" collapsed="false">
      <c r="A21" s="14" t="s">
        <v>3601</v>
      </c>
      <c r="B21" s="15" t="s">
        <v>1490</v>
      </c>
      <c r="C21" s="14" t="s">
        <v>3602</v>
      </c>
      <c r="D21" s="15" t="s">
        <v>3603</v>
      </c>
      <c r="E21" s="15" t="s">
        <v>3604</v>
      </c>
      <c r="F21" s="15" t="s">
        <v>3605</v>
      </c>
      <c r="G21" s="15"/>
      <c r="H21" s="16" t="s">
        <v>44</v>
      </c>
      <c r="I21" s="17"/>
      <c r="J21" s="17"/>
    </row>
    <row r="22" customFormat="false" ht="29.85" hidden="false" customHeight="false" outlineLevel="0" collapsed="false">
      <c r="A22" s="14" t="s">
        <v>3606</v>
      </c>
      <c r="B22" s="15" t="s">
        <v>1490</v>
      </c>
      <c r="C22" s="14" t="s">
        <v>3607</v>
      </c>
      <c r="D22" s="15" t="s">
        <v>3608</v>
      </c>
      <c r="E22" s="15" t="s">
        <v>3609</v>
      </c>
      <c r="F22" s="15" t="s">
        <v>3610</v>
      </c>
      <c r="G22" s="15"/>
      <c r="H22" s="16" t="s">
        <v>44</v>
      </c>
      <c r="I22" s="17"/>
      <c r="J22" s="17"/>
    </row>
    <row r="23" customFormat="false" ht="29.85" hidden="false" customHeight="false" outlineLevel="0" collapsed="false">
      <c r="A23" s="14" t="s">
        <v>3611</v>
      </c>
      <c r="B23" s="15" t="s">
        <v>1490</v>
      </c>
      <c r="C23" s="14" t="s">
        <v>3612</v>
      </c>
      <c r="D23" s="15" t="s">
        <v>3613</v>
      </c>
      <c r="E23" s="15" t="s">
        <v>3614</v>
      </c>
      <c r="F23" s="15" t="s">
        <v>3615</v>
      </c>
      <c r="G23" s="15" t="s">
        <v>3616</v>
      </c>
      <c r="H23" s="16" t="s">
        <v>44</v>
      </c>
      <c r="I23" s="17"/>
      <c r="J23" s="17"/>
    </row>
    <row r="24" customFormat="false" ht="29.85" hidden="false" customHeight="false" outlineLevel="0" collapsed="false">
      <c r="A24" s="14" t="s">
        <v>3617</v>
      </c>
      <c r="B24" s="15" t="s">
        <v>1490</v>
      </c>
      <c r="C24" s="14" t="s">
        <v>3618</v>
      </c>
      <c r="D24" s="15" t="s">
        <v>3619</v>
      </c>
      <c r="E24" s="15" t="s">
        <v>3620</v>
      </c>
      <c r="F24" s="15" t="s">
        <v>3621</v>
      </c>
      <c r="G24" s="15"/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3622</v>
      </c>
      <c r="B25" s="15" t="s">
        <v>1490</v>
      </c>
      <c r="C25" s="14" t="s">
        <v>3623</v>
      </c>
      <c r="D25" s="15" t="s">
        <v>3624</v>
      </c>
      <c r="E25" s="15" t="s">
        <v>3625</v>
      </c>
      <c r="F25" s="15" t="s">
        <v>3626</v>
      </c>
      <c r="G25" s="15"/>
      <c r="H25" s="16" t="s">
        <v>44</v>
      </c>
      <c r="I25" s="17"/>
      <c r="J25" s="17"/>
    </row>
    <row r="26" customFormat="false" ht="29.85" hidden="false" customHeight="false" outlineLevel="0" collapsed="false">
      <c r="A26" s="14" t="s">
        <v>3627</v>
      </c>
      <c r="B26" s="15" t="s">
        <v>1490</v>
      </c>
      <c r="C26" s="14" t="s">
        <v>3628</v>
      </c>
      <c r="D26" s="15" t="s">
        <v>3629</v>
      </c>
      <c r="E26" s="15" t="s">
        <v>3630</v>
      </c>
      <c r="F26" s="15" t="s">
        <v>3631</v>
      </c>
      <c r="G26" s="15"/>
      <c r="H26" s="16" t="s">
        <v>44</v>
      </c>
      <c r="I26" s="17"/>
      <c r="J26" s="17"/>
    </row>
    <row r="27" customFormat="false" ht="29.85" hidden="false" customHeight="false" outlineLevel="0" collapsed="false">
      <c r="A27" s="14" t="s">
        <v>3632</v>
      </c>
      <c r="B27" s="15" t="s">
        <v>1490</v>
      </c>
      <c r="C27" s="14" t="s">
        <v>3633</v>
      </c>
      <c r="D27" s="15" t="s">
        <v>3634</v>
      </c>
      <c r="E27" s="15" t="s">
        <v>3635</v>
      </c>
      <c r="F27" s="15" t="s">
        <v>3636</v>
      </c>
      <c r="G27" s="15"/>
      <c r="H27" s="16" t="s">
        <v>44</v>
      </c>
      <c r="I27" s="17"/>
      <c r="J27" s="17"/>
    </row>
    <row r="28" customFormat="false" ht="29.85" hidden="false" customHeight="false" outlineLevel="0" collapsed="false">
      <c r="A28" s="14" t="s">
        <v>3637</v>
      </c>
      <c r="B28" s="15" t="s">
        <v>1490</v>
      </c>
      <c r="C28" s="14" t="s">
        <v>3638</v>
      </c>
      <c r="D28" s="15" t="s">
        <v>3639</v>
      </c>
      <c r="E28" s="15" t="s">
        <v>3640</v>
      </c>
      <c r="F28" s="15" t="s">
        <v>3641</v>
      </c>
      <c r="G28" s="15"/>
      <c r="H28" s="16" t="s">
        <v>44</v>
      </c>
      <c r="I28" s="17"/>
      <c r="J28" s="17"/>
    </row>
    <row r="29" customFormat="false" ht="29.85" hidden="false" customHeight="false" outlineLevel="0" collapsed="false">
      <c r="A29" s="14" t="s">
        <v>3642</v>
      </c>
      <c r="B29" s="15" t="s">
        <v>1490</v>
      </c>
      <c r="C29" s="14" t="s">
        <v>3643</v>
      </c>
      <c r="D29" s="15" t="s">
        <v>3644</v>
      </c>
      <c r="E29" s="15" t="s">
        <v>3645</v>
      </c>
      <c r="F29" s="15" t="s">
        <v>3646</v>
      </c>
      <c r="G29" s="15"/>
      <c r="H29" s="16" t="s">
        <v>44</v>
      </c>
      <c r="I29" s="17"/>
      <c r="J29" s="17"/>
    </row>
    <row r="30" customFormat="false" ht="29.85" hidden="false" customHeight="false" outlineLevel="0" collapsed="false">
      <c r="A30" s="14" t="s">
        <v>3647</v>
      </c>
      <c r="B30" s="15" t="s">
        <v>1490</v>
      </c>
      <c r="C30" s="14" t="s">
        <v>3648</v>
      </c>
      <c r="D30" s="15" t="s">
        <v>3649</v>
      </c>
      <c r="E30" s="15" t="s">
        <v>3650</v>
      </c>
      <c r="F30" s="15" t="s">
        <v>3651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3652</v>
      </c>
      <c r="B31" s="15" t="s">
        <v>3653</v>
      </c>
      <c r="C31" s="15" t="s">
        <v>3654</v>
      </c>
      <c r="D31" s="15" t="s">
        <v>3655</v>
      </c>
      <c r="E31" s="15" t="s">
        <v>3656</v>
      </c>
      <c r="F31" s="15" t="s">
        <v>3657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3658</v>
      </c>
      <c r="B32" s="15" t="s">
        <v>3653</v>
      </c>
      <c r="C32" s="15" t="s">
        <v>1033</v>
      </c>
      <c r="D32" s="15" t="s">
        <v>3659</v>
      </c>
      <c r="E32" s="15" t="s">
        <v>3660</v>
      </c>
      <c r="F32" s="15" t="s">
        <v>3661</v>
      </c>
      <c r="G32" s="15"/>
      <c r="H32" s="16" t="s">
        <v>44</v>
      </c>
      <c r="I32" s="17"/>
      <c r="J32" s="17"/>
    </row>
    <row r="33" customFormat="false" ht="29.85" hidden="false" customHeight="false" outlineLevel="0" collapsed="false">
      <c r="A33" s="14" t="s">
        <v>3662</v>
      </c>
      <c r="B33" s="15" t="s">
        <v>3653</v>
      </c>
      <c r="C33" s="15" t="s">
        <v>3663</v>
      </c>
      <c r="D33" s="15" t="s">
        <v>3664</v>
      </c>
      <c r="E33" s="15" t="s">
        <v>3665</v>
      </c>
      <c r="F33" s="15" t="s">
        <v>3666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3667</v>
      </c>
      <c r="B34" s="15" t="s">
        <v>3653</v>
      </c>
      <c r="C34" s="15" t="s">
        <v>3668</v>
      </c>
      <c r="D34" s="15" t="s">
        <v>3669</v>
      </c>
      <c r="E34" s="15" t="s">
        <v>3670</v>
      </c>
      <c r="F34" s="15" t="s">
        <v>3671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3672</v>
      </c>
      <c r="B35" s="15" t="s">
        <v>3653</v>
      </c>
      <c r="C35" s="15" t="s">
        <v>3673</v>
      </c>
      <c r="D35" s="15" t="s">
        <v>3674</v>
      </c>
      <c r="E35" s="15" t="s">
        <v>3675</v>
      </c>
      <c r="F35" s="15" t="s">
        <v>3676</v>
      </c>
      <c r="G35" s="15" t="s">
        <v>3677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3678</v>
      </c>
      <c r="B36" s="15" t="s">
        <v>3653</v>
      </c>
      <c r="C36" s="15" t="s">
        <v>3679</v>
      </c>
      <c r="D36" s="15" t="s">
        <v>3680</v>
      </c>
      <c r="E36" s="15" t="s">
        <v>3681</v>
      </c>
      <c r="F36" s="15" t="s">
        <v>3682</v>
      </c>
      <c r="G36" s="15"/>
      <c r="H36" s="16" t="s">
        <v>44</v>
      </c>
      <c r="I36" s="17"/>
      <c r="J36" s="17"/>
    </row>
  </sheetData>
  <autoFilter ref="A1:J36"/>
  <dataValidations count="1">
    <dataValidation allowBlank="false" errorStyle="stop" operator="between" showDropDown="false" showErrorMessage="false" showInputMessage="false" sqref="H2:H3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8.51"/>
    <col collapsed="false" customWidth="true" hidden="false" outlineLevel="0" max="6" min="5" style="0" width="55"/>
    <col collapsed="false" customWidth="true" hidden="false" outlineLevel="0" max="7" min="7" style="0" width="53.9"/>
    <col collapsed="false" customWidth="true" hidden="false" outlineLevel="0" max="9" min="8" style="0" width="55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27.6" hidden="false" customHeight="false" outlineLevel="0" collapsed="false">
      <c r="A1" s="12" t="s">
        <v>148</v>
      </c>
      <c r="B1" s="13" t="s">
        <v>416</v>
      </c>
      <c r="C1" s="12" t="s">
        <v>3683</v>
      </c>
      <c r="D1" s="13" t="s">
        <v>3684</v>
      </c>
      <c r="E1" s="13" t="s">
        <v>3685</v>
      </c>
      <c r="F1" s="13" t="s">
        <v>3686</v>
      </c>
      <c r="G1" s="13" t="s">
        <v>3687</v>
      </c>
      <c r="H1" s="13" t="s">
        <v>3688</v>
      </c>
      <c r="I1" s="13" t="s">
        <v>159</v>
      </c>
      <c r="J1" s="13" t="s">
        <v>160</v>
      </c>
      <c r="K1" s="13" t="s">
        <v>161</v>
      </c>
      <c r="L1" s="13" t="s">
        <v>162</v>
      </c>
    </row>
    <row r="2" customFormat="false" ht="58.2" hidden="false" customHeight="false" outlineLevel="0" collapsed="false">
      <c r="A2" s="14" t="s">
        <v>3689</v>
      </c>
      <c r="B2" s="15" t="s">
        <v>429</v>
      </c>
      <c r="C2" s="15" t="s">
        <v>917</v>
      </c>
      <c r="D2" s="15" t="s">
        <v>3690</v>
      </c>
      <c r="E2" s="15" t="s">
        <v>3691</v>
      </c>
      <c r="F2" s="15" t="s">
        <v>3692</v>
      </c>
      <c r="G2" s="15" t="s">
        <v>3693</v>
      </c>
      <c r="H2" s="15" t="s">
        <v>3694</v>
      </c>
      <c r="I2" s="14" t="s">
        <v>3695</v>
      </c>
      <c r="J2" s="16" t="s">
        <v>44</v>
      </c>
      <c r="K2" s="17"/>
      <c r="L2" s="17"/>
    </row>
    <row r="3" customFormat="false" ht="44" hidden="false" customHeight="false" outlineLevel="0" collapsed="false">
      <c r="A3" s="14" t="s">
        <v>3696</v>
      </c>
      <c r="B3" s="15" t="s">
        <v>429</v>
      </c>
      <c r="C3" s="15" t="s">
        <v>2301</v>
      </c>
      <c r="D3" s="15" t="s">
        <v>3697</v>
      </c>
      <c r="E3" s="15" t="s">
        <v>3698</v>
      </c>
      <c r="F3" s="15" t="s">
        <v>3699</v>
      </c>
      <c r="G3" s="15" t="s">
        <v>3700</v>
      </c>
      <c r="H3" s="15" t="s">
        <v>3701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3702</v>
      </c>
      <c r="B4" s="15" t="s">
        <v>429</v>
      </c>
      <c r="C4" s="15" t="s">
        <v>2316</v>
      </c>
      <c r="D4" s="15" t="s">
        <v>3703</v>
      </c>
      <c r="E4" s="15" t="s">
        <v>3704</v>
      </c>
      <c r="F4" s="15" t="s">
        <v>3705</v>
      </c>
      <c r="G4" s="15" t="s">
        <v>3706</v>
      </c>
      <c r="H4" s="15" t="s">
        <v>3707</v>
      </c>
      <c r="I4" s="15"/>
      <c r="J4" s="16" t="s">
        <v>44</v>
      </c>
      <c r="K4" s="17"/>
      <c r="L4" s="17"/>
    </row>
    <row r="5" customFormat="false" ht="44" hidden="false" customHeight="false" outlineLevel="0" collapsed="false">
      <c r="A5" s="14" t="s">
        <v>3708</v>
      </c>
      <c r="B5" s="15" t="s">
        <v>429</v>
      </c>
      <c r="C5" s="15" t="s">
        <v>2330</v>
      </c>
      <c r="D5" s="15" t="s">
        <v>3709</v>
      </c>
      <c r="E5" s="15" t="s">
        <v>3710</v>
      </c>
      <c r="F5" s="15" t="s">
        <v>3711</v>
      </c>
      <c r="G5" s="15" t="s">
        <v>3712</v>
      </c>
      <c r="H5" s="15" t="s">
        <v>3713</v>
      </c>
      <c r="I5" s="15" t="s">
        <v>3714</v>
      </c>
      <c r="J5" s="16" t="s">
        <v>44</v>
      </c>
      <c r="K5" s="17"/>
      <c r="L5" s="17"/>
    </row>
    <row r="6" customFormat="false" ht="44" hidden="false" customHeight="false" outlineLevel="0" collapsed="false">
      <c r="A6" s="14" t="s">
        <v>3715</v>
      </c>
      <c r="B6" s="15" t="s">
        <v>429</v>
      </c>
      <c r="C6" s="15" t="s">
        <v>2346</v>
      </c>
      <c r="D6" s="15" t="s">
        <v>3716</v>
      </c>
      <c r="E6" s="15" t="s">
        <v>3717</v>
      </c>
      <c r="F6" s="15" t="s">
        <v>3718</v>
      </c>
      <c r="G6" s="15" t="s">
        <v>3719</v>
      </c>
      <c r="H6" s="15" t="s">
        <v>3720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3721</v>
      </c>
      <c r="B7" s="15" t="s">
        <v>429</v>
      </c>
      <c r="C7" s="15" t="s">
        <v>2360</v>
      </c>
      <c r="D7" s="15" t="s">
        <v>3722</v>
      </c>
      <c r="E7" s="15" t="s">
        <v>3723</v>
      </c>
      <c r="F7" s="15" t="s">
        <v>3724</v>
      </c>
      <c r="G7" s="15" t="s">
        <v>3725</v>
      </c>
      <c r="H7" s="15" t="s">
        <v>3726</v>
      </c>
      <c r="I7" s="15"/>
      <c r="J7" s="16" t="s">
        <v>44</v>
      </c>
      <c r="K7" s="17"/>
      <c r="L7" s="17"/>
    </row>
    <row r="8" customFormat="false" ht="44" hidden="false" customHeight="false" outlineLevel="0" collapsed="false">
      <c r="A8" s="14" t="s">
        <v>3727</v>
      </c>
      <c r="B8" s="15" t="s">
        <v>429</v>
      </c>
      <c r="C8" s="15" t="s">
        <v>2374</v>
      </c>
      <c r="D8" s="15" t="s">
        <v>3728</v>
      </c>
      <c r="E8" s="15" t="s">
        <v>3729</v>
      </c>
      <c r="F8" s="15" t="s">
        <v>3730</v>
      </c>
      <c r="G8" s="15" t="s">
        <v>3731</v>
      </c>
      <c r="H8" s="15" t="s">
        <v>3732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3733</v>
      </c>
      <c r="B9" s="15" t="s">
        <v>429</v>
      </c>
      <c r="C9" s="15" t="s">
        <v>2389</v>
      </c>
      <c r="D9" s="15" t="s">
        <v>3734</v>
      </c>
      <c r="E9" s="15" t="s">
        <v>3735</v>
      </c>
      <c r="F9" s="15" t="s">
        <v>3736</v>
      </c>
      <c r="G9" s="15" t="s">
        <v>3737</v>
      </c>
      <c r="H9" s="15" t="s">
        <v>3738</v>
      </c>
      <c r="I9" s="15"/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3739</v>
      </c>
      <c r="B10" s="15" t="s">
        <v>429</v>
      </c>
      <c r="C10" s="15" t="s">
        <v>2405</v>
      </c>
      <c r="D10" s="15" t="s">
        <v>3740</v>
      </c>
      <c r="E10" s="15" t="s">
        <v>3741</v>
      </c>
      <c r="F10" s="15" t="s">
        <v>3742</v>
      </c>
      <c r="G10" s="15" t="s">
        <v>3743</v>
      </c>
      <c r="H10" s="15" t="s">
        <v>3744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3745</v>
      </c>
      <c r="B11" s="15" t="s">
        <v>429</v>
      </c>
      <c r="C11" s="15" t="s">
        <v>2419</v>
      </c>
      <c r="D11" s="15" t="s">
        <v>3746</v>
      </c>
      <c r="E11" s="15" t="s">
        <v>3747</v>
      </c>
      <c r="F11" s="15" t="s">
        <v>3748</v>
      </c>
      <c r="G11" s="15" t="s">
        <v>3749</v>
      </c>
      <c r="H11" s="15" t="s">
        <v>3750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3751</v>
      </c>
      <c r="B12" s="15" t="s">
        <v>429</v>
      </c>
      <c r="C12" s="15" t="s">
        <v>2434</v>
      </c>
      <c r="D12" s="15" t="s">
        <v>3752</v>
      </c>
      <c r="E12" s="15" t="s">
        <v>3753</v>
      </c>
      <c r="F12" s="15" t="s">
        <v>3754</v>
      </c>
      <c r="G12" s="15" t="s">
        <v>3755</v>
      </c>
      <c r="H12" s="15" t="s">
        <v>3756</v>
      </c>
      <c r="I12" s="15" t="s">
        <v>3757</v>
      </c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3758</v>
      </c>
      <c r="B13" s="15" t="s">
        <v>478</v>
      </c>
      <c r="C13" s="15" t="s">
        <v>917</v>
      </c>
      <c r="D13" s="15" t="s">
        <v>3759</v>
      </c>
      <c r="E13" s="15" t="s">
        <v>3760</v>
      </c>
      <c r="F13" s="15" t="s">
        <v>3761</v>
      </c>
      <c r="G13" s="15" t="s">
        <v>3762</v>
      </c>
      <c r="H13" s="15" t="s">
        <v>3763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3764</v>
      </c>
      <c r="B14" s="15" t="s">
        <v>478</v>
      </c>
      <c r="C14" s="15" t="s">
        <v>2301</v>
      </c>
      <c r="D14" s="15" t="s">
        <v>3765</v>
      </c>
      <c r="E14" s="15" t="s">
        <v>3766</v>
      </c>
      <c r="F14" s="15" t="s">
        <v>3767</v>
      </c>
      <c r="G14" s="15" t="s">
        <v>3768</v>
      </c>
      <c r="H14" s="15" t="s">
        <v>3769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3770</v>
      </c>
      <c r="B15" s="15" t="s">
        <v>478</v>
      </c>
      <c r="C15" s="15" t="s">
        <v>2316</v>
      </c>
      <c r="D15" s="15" t="s">
        <v>3771</v>
      </c>
      <c r="E15" s="15" t="s">
        <v>3772</v>
      </c>
      <c r="F15" s="15" t="s">
        <v>3773</v>
      </c>
      <c r="G15" s="15" t="s">
        <v>3774</v>
      </c>
      <c r="H15" s="15" t="s">
        <v>3775</v>
      </c>
      <c r="I15" s="15"/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3776</v>
      </c>
      <c r="B16" s="15" t="s">
        <v>478</v>
      </c>
      <c r="C16" s="15" t="s">
        <v>2330</v>
      </c>
      <c r="D16" s="15" t="s">
        <v>3777</v>
      </c>
      <c r="E16" s="15" t="s">
        <v>3778</v>
      </c>
      <c r="F16" s="15" t="s">
        <v>3779</v>
      </c>
      <c r="G16" s="15" t="s">
        <v>3780</v>
      </c>
      <c r="H16" s="15" t="s">
        <v>3781</v>
      </c>
      <c r="I16" s="15" t="s">
        <v>3782</v>
      </c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3783</v>
      </c>
      <c r="B17" s="15" t="s">
        <v>478</v>
      </c>
      <c r="C17" s="15" t="s">
        <v>2346</v>
      </c>
      <c r="D17" s="15" t="s">
        <v>3784</v>
      </c>
      <c r="E17" s="15" t="s">
        <v>3785</v>
      </c>
      <c r="F17" s="15" t="s">
        <v>3786</v>
      </c>
      <c r="G17" s="15" t="s">
        <v>3787</v>
      </c>
      <c r="H17" s="15" t="s">
        <v>3788</v>
      </c>
      <c r="I17" s="15"/>
      <c r="J17" s="16" t="s">
        <v>44</v>
      </c>
      <c r="K17" s="17"/>
      <c r="L17" s="17"/>
    </row>
    <row r="18" customFormat="false" ht="58.2" hidden="false" customHeight="false" outlineLevel="0" collapsed="false">
      <c r="A18" s="14" t="s">
        <v>3789</v>
      </c>
      <c r="B18" s="15" t="s">
        <v>478</v>
      </c>
      <c r="C18" s="15" t="s">
        <v>2360</v>
      </c>
      <c r="D18" s="15" t="s">
        <v>3790</v>
      </c>
      <c r="E18" s="15" t="s">
        <v>3791</v>
      </c>
      <c r="F18" s="15" t="s">
        <v>3792</v>
      </c>
      <c r="G18" s="15" t="s">
        <v>3793</v>
      </c>
      <c r="H18" s="15" t="s">
        <v>3794</v>
      </c>
      <c r="I18" s="15"/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3795</v>
      </c>
      <c r="B19" s="15" t="s">
        <v>478</v>
      </c>
      <c r="C19" s="15" t="s">
        <v>2374</v>
      </c>
      <c r="D19" s="15" t="s">
        <v>3796</v>
      </c>
      <c r="E19" s="15" t="s">
        <v>3797</v>
      </c>
      <c r="F19" s="15" t="s">
        <v>3798</v>
      </c>
      <c r="G19" s="15" t="s">
        <v>3799</v>
      </c>
      <c r="H19" s="15" t="s">
        <v>3800</v>
      </c>
      <c r="I19" s="15"/>
      <c r="J19" s="16" t="s">
        <v>44</v>
      </c>
      <c r="K19" s="17"/>
      <c r="L19" s="17"/>
    </row>
    <row r="20" customFormat="false" ht="58.2" hidden="false" customHeight="false" outlineLevel="0" collapsed="false">
      <c r="A20" s="14" t="s">
        <v>3801</v>
      </c>
      <c r="B20" s="15" t="s">
        <v>478</v>
      </c>
      <c r="C20" s="15" t="s">
        <v>2389</v>
      </c>
      <c r="D20" s="15" t="s">
        <v>3802</v>
      </c>
      <c r="E20" s="15" t="s">
        <v>3803</v>
      </c>
      <c r="F20" s="15" t="s">
        <v>3804</v>
      </c>
      <c r="G20" s="15" t="s">
        <v>3805</v>
      </c>
      <c r="H20" s="15" t="s">
        <v>3806</v>
      </c>
      <c r="I20" s="15" t="s">
        <v>3807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3808</v>
      </c>
      <c r="B21" s="15" t="s">
        <v>478</v>
      </c>
      <c r="C21" s="15" t="s">
        <v>2405</v>
      </c>
      <c r="D21" s="15" t="s">
        <v>3809</v>
      </c>
      <c r="E21" s="15" t="s">
        <v>3810</v>
      </c>
      <c r="F21" s="15" t="s">
        <v>3811</v>
      </c>
      <c r="G21" s="15" t="s">
        <v>3812</v>
      </c>
      <c r="H21" s="15" t="s">
        <v>3813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3814</v>
      </c>
      <c r="B22" s="15" t="s">
        <v>478</v>
      </c>
      <c r="C22" s="15" t="s">
        <v>2419</v>
      </c>
      <c r="D22" s="15" t="s">
        <v>3815</v>
      </c>
      <c r="E22" s="15" t="s">
        <v>3816</v>
      </c>
      <c r="F22" s="15" t="s">
        <v>3817</v>
      </c>
      <c r="G22" s="15" t="s">
        <v>3818</v>
      </c>
      <c r="H22" s="15" t="s">
        <v>3819</v>
      </c>
      <c r="I22" s="15"/>
      <c r="J22" s="16" t="s">
        <v>44</v>
      </c>
      <c r="K22" s="17"/>
      <c r="L22" s="17"/>
    </row>
    <row r="23" customFormat="false" ht="44" hidden="false" customHeight="false" outlineLevel="0" collapsed="false">
      <c r="A23" s="14" t="s">
        <v>3820</v>
      </c>
      <c r="B23" s="15" t="s">
        <v>478</v>
      </c>
      <c r="C23" s="15" t="s">
        <v>2434</v>
      </c>
      <c r="D23" s="15" t="s">
        <v>3821</v>
      </c>
      <c r="E23" s="15" t="s">
        <v>3822</v>
      </c>
      <c r="F23" s="15" t="s">
        <v>3823</v>
      </c>
      <c r="G23" s="15" t="s">
        <v>3824</v>
      </c>
      <c r="H23" s="15" t="s">
        <v>3825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3826</v>
      </c>
      <c r="B24" s="15" t="s">
        <v>521</v>
      </c>
      <c r="C24" s="15" t="s">
        <v>917</v>
      </c>
      <c r="D24" s="15" t="s">
        <v>3827</v>
      </c>
      <c r="E24" s="15" t="s">
        <v>3828</v>
      </c>
      <c r="F24" s="15" t="s">
        <v>3829</v>
      </c>
      <c r="G24" s="15" t="s">
        <v>3830</v>
      </c>
      <c r="H24" s="15" t="s">
        <v>3831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3832</v>
      </c>
      <c r="B25" s="15" t="s">
        <v>521</v>
      </c>
      <c r="C25" s="15" t="s">
        <v>2301</v>
      </c>
      <c r="D25" s="15" t="s">
        <v>3833</v>
      </c>
      <c r="E25" s="15" t="s">
        <v>3834</v>
      </c>
      <c r="F25" s="15" t="s">
        <v>3835</v>
      </c>
      <c r="G25" s="15" t="s">
        <v>3836</v>
      </c>
      <c r="H25" s="15" t="s">
        <v>3837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3838</v>
      </c>
      <c r="B26" s="15" t="s">
        <v>521</v>
      </c>
      <c r="C26" s="15" t="s">
        <v>2316</v>
      </c>
      <c r="D26" s="15" t="s">
        <v>3839</v>
      </c>
      <c r="E26" s="15" t="s">
        <v>3840</v>
      </c>
      <c r="F26" s="15" t="s">
        <v>3841</v>
      </c>
      <c r="G26" s="15" t="s">
        <v>3842</v>
      </c>
      <c r="H26" s="15" t="s">
        <v>3843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3844</v>
      </c>
      <c r="B27" s="15" t="s">
        <v>521</v>
      </c>
      <c r="C27" s="15" t="s">
        <v>2330</v>
      </c>
      <c r="D27" s="15" t="s">
        <v>3845</v>
      </c>
      <c r="E27" s="15" t="s">
        <v>3846</v>
      </c>
      <c r="F27" s="15" t="s">
        <v>3847</v>
      </c>
      <c r="G27" s="15" t="s">
        <v>3848</v>
      </c>
      <c r="H27" s="15" t="s">
        <v>3849</v>
      </c>
      <c r="I27" s="15" t="s">
        <v>3850</v>
      </c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3851</v>
      </c>
      <c r="B28" s="15" t="s">
        <v>521</v>
      </c>
      <c r="C28" s="15" t="s">
        <v>2346</v>
      </c>
      <c r="D28" s="15" t="s">
        <v>3852</v>
      </c>
      <c r="E28" s="15" t="s">
        <v>3853</v>
      </c>
      <c r="F28" s="15" t="s">
        <v>3854</v>
      </c>
      <c r="G28" s="15" t="s">
        <v>3855</v>
      </c>
      <c r="H28" s="15" t="s">
        <v>3856</v>
      </c>
      <c r="I28" s="15"/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3857</v>
      </c>
      <c r="B29" s="15" t="s">
        <v>521</v>
      </c>
      <c r="C29" s="15" t="s">
        <v>2360</v>
      </c>
      <c r="D29" s="15" t="s">
        <v>3858</v>
      </c>
      <c r="E29" s="15" t="s">
        <v>3859</v>
      </c>
      <c r="F29" s="15" t="s">
        <v>3860</v>
      </c>
      <c r="G29" s="15" t="s">
        <v>3861</v>
      </c>
      <c r="H29" s="15" t="s">
        <v>3862</v>
      </c>
      <c r="I29" s="15"/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3863</v>
      </c>
      <c r="B30" s="15" t="s">
        <v>521</v>
      </c>
      <c r="C30" s="15" t="s">
        <v>2374</v>
      </c>
      <c r="D30" s="15" t="s">
        <v>3864</v>
      </c>
      <c r="E30" s="15" t="s">
        <v>3865</v>
      </c>
      <c r="F30" s="15" t="s">
        <v>3866</v>
      </c>
      <c r="G30" s="15" t="s">
        <v>3867</v>
      </c>
      <c r="H30" s="15" t="s">
        <v>3868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3869</v>
      </c>
      <c r="B31" s="15" t="s">
        <v>521</v>
      </c>
      <c r="C31" s="15" t="s">
        <v>2389</v>
      </c>
      <c r="D31" s="15" t="s">
        <v>3870</v>
      </c>
      <c r="E31" s="15" t="s">
        <v>3871</v>
      </c>
      <c r="F31" s="15" t="s">
        <v>3872</v>
      </c>
      <c r="G31" s="15" t="s">
        <v>3873</v>
      </c>
      <c r="H31" s="15" t="s">
        <v>3874</v>
      </c>
      <c r="I31" s="15"/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3875</v>
      </c>
      <c r="B32" s="15" t="s">
        <v>521</v>
      </c>
      <c r="C32" s="15" t="s">
        <v>2405</v>
      </c>
      <c r="D32" s="15" t="s">
        <v>3876</v>
      </c>
      <c r="E32" s="15" t="s">
        <v>3877</v>
      </c>
      <c r="F32" s="15" t="s">
        <v>3878</v>
      </c>
      <c r="G32" s="15" t="s">
        <v>3879</v>
      </c>
      <c r="H32" s="15" t="s">
        <v>3880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3881</v>
      </c>
      <c r="B33" s="15" t="s">
        <v>521</v>
      </c>
      <c r="C33" s="15" t="s">
        <v>2419</v>
      </c>
      <c r="D33" s="15" t="s">
        <v>3882</v>
      </c>
      <c r="E33" s="15" t="s">
        <v>3883</v>
      </c>
      <c r="F33" s="15" t="s">
        <v>3884</v>
      </c>
      <c r="G33" s="15" t="s">
        <v>3885</v>
      </c>
      <c r="H33" s="15" t="s">
        <v>3886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3887</v>
      </c>
      <c r="B34" s="15" t="s">
        <v>521</v>
      </c>
      <c r="C34" s="15" t="s">
        <v>2434</v>
      </c>
      <c r="D34" s="15" t="s">
        <v>3888</v>
      </c>
      <c r="E34" s="15" t="s">
        <v>3889</v>
      </c>
      <c r="F34" s="15" t="s">
        <v>3890</v>
      </c>
      <c r="G34" s="15" t="s">
        <v>3891</v>
      </c>
      <c r="H34" s="15" t="s">
        <v>3892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3893</v>
      </c>
      <c r="B35" s="15" t="s">
        <v>564</v>
      </c>
      <c r="C35" s="15" t="s">
        <v>917</v>
      </c>
      <c r="D35" s="15" t="s">
        <v>3894</v>
      </c>
      <c r="E35" s="15" t="s">
        <v>3895</v>
      </c>
      <c r="F35" s="15" t="s">
        <v>3896</v>
      </c>
      <c r="G35" s="15" t="s">
        <v>3897</v>
      </c>
      <c r="H35" s="15" t="s">
        <v>3898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3899</v>
      </c>
      <c r="B36" s="15" t="s">
        <v>564</v>
      </c>
      <c r="C36" s="15" t="s">
        <v>2301</v>
      </c>
      <c r="D36" s="15" t="s">
        <v>3900</v>
      </c>
      <c r="E36" s="15" t="s">
        <v>3901</v>
      </c>
      <c r="F36" s="15" t="s">
        <v>3902</v>
      </c>
      <c r="G36" s="15" t="s">
        <v>3903</v>
      </c>
      <c r="H36" s="15" t="s">
        <v>3904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3905</v>
      </c>
      <c r="B37" s="15" t="s">
        <v>564</v>
      </c>
      <c r="C37" s="15" t="s">
        <v>2316</v>
      </c>
      <c r="D37" s="15" t="s">
        <v>3906</v>
      </c>
      <c r="E37" s="15" t="s">
        <v>3907</v>
      </c>
      <c r="F37" s="15" t="s">
        <v>3908</v>
      </c>
      <c r="G37" s="15" t="s">
        <v>3909</v>
      </c>
      <c r="H37" s="15" t="s">
        <v>3910</v>
      </c>
      <c r="I37" s="15"/>
      <c r="J37" s="16" t="s">
        <v>44</v>
      </c>
      <c r="K37" s="17"/>
      <c r="L37" s="17"/>
    </row>
    <row r="38" customFormat="false" ht="44" hidden="false" customHeight="false" outlineLevel="0" collapsed="false">
      <c r="A38" s="14" t="s">
        <v>3911</v>
      </c>
      <c r="B38" s="15" t="s">
        <v>564</v>
      </c>
      <c r="C38" s="15" t="s">
        <v>2330</v>
      </c>
      <c r="D38" s="15" t="s">
        <v>3912</v>
      </c>
      <c r="E38" s="15" t="s">
        <v>3913</v>
      </c>
      <c r="F38" s="15" t="s">
        <v>3914</v>
      </c>
      <c r="G38" s="15" t="s">
        <v>3915</v>
      </c>
      <c r="H38" s="15" t="s">
        <v>3916</v>
      </c>
      <c r="I38" s="15" t="s">
        <v>3917</v>
      </c>
      <c r="J38" s="16" t="s">
        <v>44</v>
      </c>
      <c r="K38" s="17"/>
      <c r="L38" s="17"/>
    </row>
    <row r="39" customFormat="false" ht="44" hidden="false" customHeight="false" outlineLevel="0" collapsed="false">
      <c r="A39" s="14" t="s">
        <v>3918</v>
      </c>
      <c r="B39" s="15" t="s">
        <v>564</v>
      </c>
      <c r="C39" s="15" t="s">
        <v>2346</v>
      </c>
      <c r="D39" s="15" t="s">
        <v>3919</v>
      </c>
      <c r="E39" s="15" t="s">
        <v>3920</v>
      </c>
      <c r="F39" s="15" t="s">
        <v>3921</v>
      </c>
      <c r="G39" s="15" t="s">
        <v>3922</v>
      </c>
      <c r="H39" s="15" t="s">
        <v>3923</v>
      </c>
      <c r="I39" s="15"/>
      <c r="J39" s="16" t="s">
        <v>44</v>
      </c>
      <c r="K39" s="17"/>
      <c r="L39" s="17"/>
    </row>
    <row r="40" customFormat="false" ht="44" hidden="false" customHeight="false" outlineLevel="0" collapsed="false">
      <c r="A40" s="14" t="s">
        <v>3924</v>
      </c>
      <c r="B40" s="15" t="s">
        <v>564</v>
      </c>
      <c r="C40" s="15" t="s">
        <v>2360</v>
      </c>
      <c r="D40" s="15" t="s">
        <v>3925</v>
      </c>
      <c r="E40" s="15" t="s">
        <v>3926</v>
      </c>
      <c r="F40" s="15" t="s">
        <v>3927</v>
      </c>
      <c r="G40" s="15" t="s">
        <v>3928</v>
      </c>
      <c r="H40" s="15" t="s">
        <v>3929</v>
      </c>
      <c r="I40" s="15"/>
      <c r="J40" s="16" t="s">
        <v>44</v>
      </c>
      <c r="K40" s="17"/>
      <c r="L40" s="17"/>
    </row>
    <row r="41" customFormat="false" ht="44" hidden="false" customHeight="false" outlineLevel="0" collapsed="false">
      <c r="A41" s="14" t="s">
        <v>3930</v>
      </c>
      <c r="B41" s="15" t="s">
        <v>564</v>
      </c>
      <c r="C41" s="15" t="s">
        <v>2374</v>
      </c>
      <c r="D41" s="15" t="s">
        <v>3931</v>
      </c>
      <c r="E41" s="15" t="s">
        <v>3932</v>
      </c>
      <c r="F41" s="15" t="s">
        <v>3933</v>
      </c>
      <c r="G41" s="15" t="s">
        <v>3934</v>
      </c>
      <c r="H41" s="15" t="s">
        <v>3935</v>
      </c>
      <c r="I41" s="15"/>
      <c r="J41" s="16" t="s">
        <v>44</v>
      </c>
      <c r="K41" s="17"/>
      <c r="L41" s="17"/>
    </row>
    <row r="42" customFormat="false" ht="44" hidden="false" customHeight="false" outlineLevel="0" collapsed="false">
      <c r="A42" s="14" t="s">
        <v>3936</v>
      </c>
      <c r="B42" s="15" t="s">
        <v>564</v>
      </c>
      <c r="C42" s="15" t="s">
        <v>2389</v>
      </c>
      <c r="D42" s="15" t="s">
        <v>3937</v>
      </c>
      <c r="E42" s="15" t="s">
        <v>3938</v>
      </c>
      <c r="F42" s="15" t="s">
        <v>3939</v>
      </c>
      <c r="G42" s="15" t="s">
        <v>3940</v>
      </c>
      <c r="H42" s="15" t="s">
        <v>3941</v>
      </c>
      <c r="I42" s="15"/>
      <c r="J42" s="16" t="s">
        <v>44</v>
      </c>
      <c r="K42" s="17"/>
      <c r="L42" s="17"/>
    </row>
    <row r="43" customFormat="false" ht="44" hidden="false" customHeight="false" outlineLevel="0" collapsed="false">
      <c r="A43" s="14" t="s">
        <v>3942</v>
      </c>
      <c r="B43" s="15" t="s">
        <v>564</v>
      </c>
      <c r="C43" s="15" t="s">
        <v>2405</v>
      </c>
      <c r="D43" s="15" t="s">
        <v>3943</v>
      </c>
      <c r="E43" s="15" t="s">
        <v>3944</v>
      </c>
      <c r="F43" s="15" t="s">
        <v>3945</v>
      </c>
      <c r="G43" s="15" t="s">
        <v>3946</v>
      </c>
      <c r="H43" s="15" t="s">
        <v>3947</v>
      </c>
      <c r="I43" s="15"/>
      <c r="J43" s="16" t="s">
        <v>44</v>
      </c>
      <c r="K43" s="17"/>
      <c r="L43" s="17"/>
    </row>
    <row r="44" customFormat="false" ht="44" hidden="false" customHeight="false" outlineLevel="0" collapsed="false">
      <c r="A44" s="14" t="s">
        <v>3948</v>
      </c>
      <c r="B44" s="15" t="s">
        <v>564</v>
      </c>
      <c r="C44" s="15" t="s">
        <v>2419</v>
      </c>
      <c r="D44" s="15" t="s">
        <v>3949</v>
      </c>
      <c r="E44" s="15" t="s">
        <v>3950</v>
      </c>
      <c r="F44" s="15" t="s">
        <v>3951</v>
      </c>
      <c r="G44" s="15" t="s">
        <v>3952</v>
      </c>
      <c r="H44" s="15" t="s">
        <v>3953</v>
      </c>
      <c r="I44" s="15"/>
      <c r="J44" s="16" t="s">
        <v>44</v>
      </c>
      <c r="K44" s="17"/>
      <c r="L44" s="17"/>
    </row>
    <row r="45" customFormat="false" ht="44" hidden="false" customHeight="false" outlineLevel="0" collapsed="false">
      <c r="A45" s="14" t="s">
        <v>3954</v>
      </c>
      <c r="B45" s="15" t="s">
        <v>564</v>
      </c>
      <c r="C45" s="15" t="s">
        <v>2434</v>
      </c>
      <c r="D45" s="15" t="s">
        <v>3955</v>
      </c>
      <c r="E45" s="15" t="s">
        <v>3956</v>
      </c>
      <c r="F45" s="15" t="s">
        <v>3957</v>
      </c>
      <c r="G45" s="15" t="s">
        <v>3958</v>
      </c>
      <c r="H45" s="15" t="s">
        <v>3959</v>
      </c>
      <c r="I45" s="15"/>
      <c r="J45" s="16" t="s">
        <v>44</v>
      </c>
      <c r="K45" s="17"/>
      <c r="L45" s="17"/>
    </row>
    <row r="46" customFormat="false" ht="44" hidden="false" customHeight="false" outlineLevel="0" collapsed="false">
      <c r="A46" s="14" t="s">
        <v>3960</v>
      </c>
      <c r="B46" s="15" t="s">
        <v>606</v>
      </c>
      <c r="C46" s="15" t="s">
        <v>917</v>
      </c>
      <c r="D46" s="15" t="s">
        <v>3961</v>
      </c>
      <c r="E46" s="15" t="s">
        <v>3962</v>
      </c>
      <c r="F46" s="15" t="s">
        <v>3963</v>
      </c>
      <c r="G46" s="15" t="s">
        <v>3964</v>
      </c>
      <c r="H46" s="15" t="s">
        <v>3965</v>
      </c>
      <c r="I46" s="15"/>
      <c r="J46" s="16" t="s">
        <v>44</v>
      </c>
      <c r="K46" s="17"/>
      <c r="L46" s="17"/>
    </row>
    <row r="47" customFormat="false" ht="58.2" hidden="false" customHeight="false" outlineLevel="0" collapsed="false">
      <c r="A47" s="14" t="s">
        <v>3966</v>
      </c>
      <c r="B47" s="15" t="s">
        <v>606</v>
      </c>
      <c r="C47" s="15" t="s">
        <v>2301</v>
      </c>
      <c r="D47" s="15" t="s">
        <v>3967</v>
      </c>
      <c r="E47" s="15" t="s">
        <v>3968</v>
      </c>
      <c r="F47" s="15" t="s">
        <v>3969</v>
      </c>
      <c r="G47" s="15" t="s">
        <v>3970</v>
      </c>
      <c r="H47" s="15" t="s">
        <v>3971</v>
      </c>
      <c r="I47" s="15"/>
      <c r="J47" s="16" t="s">
        <v>44</v>
      </c>
      <c r="K47" s="17"/>
      <c r="L47" s="17"/>
    </row>
    <row r="48" customFormat="false" ht="58.2" hidden="false" customHeight="false" outlineLevel="0" collapsed="false">
      <c r="A48" s="14" t="s">
        <v>3972</v>
      </c>
      <c r="B48" s="15" t="s">
        <v>606</v>
      </c>
      <c r="C48" s="15" t="s">
        <v>2316</v>
      </c>
      <c r="D48" s="15" t="s">
        <v>3973</v>
      </c>
      <c r="E48" s="15" t="s">
        <v>3974</v>
      </c>
      <c r="F48" s="15" t="s">
        <v>3975</v>
      </c>
      <c r="G48" s="15" t="s">
        <v>3976</v>
      </c>
      <c r="H48" s="15" t="s">
        <v>3977</v>
      </c>
      <c r="I48" s="15" t="s">
        <v>3978</v>
      </c>
      <c r="J48" s="16" t="s">
        <v>44</v>
      </c>
      <c r="K48" s="17"/>
      <c r="L48" s="17"/>
    </row>
    <row r="49" customFormat="false" ht="58.2" hidden="false" customHeight="false" outlineLevel="0" collapsed="false">
      <c r="A49" s="14" t="s">
        <v>3979</v>
      </c>
      <c r="B49" s="15" t="s">
        <v>606</v>
      </c>
      <c r="C49" s="15" t="s">
        <v>2330</v>
      </c>
      <c r="D49" s="15" t="s">
        <v>3980</v>
      </c>
      <c r="E49" s="15" t="s">
        <v>3981</v>
      </c>
      <c r="F49" s="15" t="s">
        <v>3982</v>
      </c>
      <c r="G49" s="15" t="s">
        <v>3983</v>
      </c>
      <c r="H49" s="15" t="s">
        <v>3984</v>
      </c>
      <c r="I49" s="15" t="s">
        <v>3985</v>
      </c>
      <c r="J49" s="16" t="s">
        <v>44</v>
      </c>
      <c r="K49" s="17"/>
      <c r="L49" s="17"/>
    </row>
    <row r="50" customFormat="false" ht="44" hidden="false" customHeight="false" outlineLevel="0" collapsed="false">
      <c r="A50" s="14" t="s">
        <v>3986</v>
      </c>
      <c r="B50" s="15" t="s">
        <v>606</v>
      </c>
      <c r="C50" s="15" t="s">
        <v>2346</v>
      </c>
      <c r="D50" s="15" t="s">
        <v>3987</v>
      </c>
      <c r="E50" s="15" t="s">
        <v>3988</v>
      </c>
      <c r="F50" s="15" t="s">
        <v>3989</v>
      </c>
      <c r="G50" s="15" t="s">
        <v>3990</v>
      </c>
      <c r="H50" s="15" t="s">
        <v>3991</v>
      </c>
      <c r="I50" s="15" t="s">
        <v>3992</v>
      </c>
      <c r="J50" s="16" t="s">
        <v>44</v>
      </c>
      <c r="K50" s="17"/>
      <c r="L50" s="17"/>
    </row>
    <row r="51" customFormat="false" ht="44" hidden="false" customHeight="false" outlineLevel="0" collapsed="false">
      <c r="A51" s="14" t="s">
        <v>3993</v>
      </c>
      <c r="B51" s="15" t="s">
        <v>606</v>
      </c>
      <c r="C51" s="15" t="s">
        <v>2360</v>
      </c>
      <c r="D51" s="15" t="s">
        <v>3994</v>
      </c>
      <c r="E51" s="15" t="s">
        <v>3995</v>
      </c>
      <c r="F51" s="15" t="s">
        <v>3996</v>
      </c>
      <c r="G51" s="15" t="s">
        <v>3997</v>
      </c>
      <c r="H51" s="15" t="s">
        <v>3998</v>
      </c>
      <c r="I51" s="15"/>
      <c r="J51" s="16" t="s">
        <v>44</v>
      </c>
      <c r="K51" s="17"/>
      <c r="L51" s="17"/>
    </row>
    <row r="52" customFormat="false" ht="44" hidden="false" customHeight="false" outlineLevel="0" collapsed="false">
      <c r="A52" s="14" t="s">
        <v>3999</v>
      </c>
      <c r="B52" s="15" t="s">
        <v>606</v>
      </c>
      <c r="C52" s="15" t="s">
        <v>2374</v>
      </c>
      <c r="D52" s="15" t="s">
        <v>4000</v>
      </c>
      <c r="E52" s="15" t="s">
        <v>4001</v>
      </c>
      <c r="F52" s="15" t="s">
        <v>4002</v>
      </c>
      <c r="G52" s="15" t="s">
        <v>4003</v>
      </c>
      <c r="H52" s="15" t="s">
        <v>4004</v>
      </c>
      <c r="I52" s="15"/>
      <c r="J52" s="16" t="s">
        <v>44</v>
      </c>
      <c r="K52" s="17"/>
      <c r="L52" s="17"/>
    </row>
    <row r="53" customFormat="false" ht="44" hidden="false" customHeight="false" outlineLevel="0" collapsed="false">
      <c r="A53" s="14" t="s">
        <v>4005</v>
      </c>
      <c r="B53" s="15" t="s">
        <v>606</v>
      </c>
      <c r="C53" s="15" t="s">
        <v>2389</v>
      </c>
      <c r="D53" s="15" t="s">
        <v>4006</v>
      </c>
      <c r="E53" s="15" t="s">
        <v>4007</v>
      </c>
      <c r="F53" s="15" t="s">
        <v>4008</v>
      </c>
      <c r="G53" s="15" t="s">
        <v>4009</v>
      </c>
      <c r="H53" s="15" t="s">
        <v>4010</v>
      </c>
      <c r="I53" s="15"/>
      <c r="J53" s="16" t="s">
        <v>44</v>
      </c>
      <c r="K53" s="17"/>
      <c r="L53" s="17"/>
    </row>
    <row r="54" customFormat="false" ht="44" hidden="false" customHeight="false" outlineLevel="0" collapsed="false">
      <c r="A54" s="14" t="s">
        <v>4011</v>
      </c>
      <c r="B54" s="15" t="s">
        <v>606</v>
      </c>
      <c r="C54" s="15" t="s">
        <v>2405</v>
      </c>
      <c r="D54" s="15" t="s">
        <v>4012</v>
      </c>
      <c r="E54" s="15" t="s">
        <v>4013</v>
      </c>
      <c r="F54" s="15" t="s">
        <v>4014</v>
      </c>
      <c r="G54" s="15" t="s">
        <v>4015</v>
      </c>
      <c r="H54" s="15" t="s">
        <v>4016</v>
      </c>
      <c r="I54" s="15"/>
      <c r="J54" s="16" t="s">
        <v>44</v>
      </c>
      <c r="K54" s="17"/>
      <c r="L54" s="17"/>
    </row>
    <row r="55" customFormat="false" ht="44" hidden="false" customHeight="false" outlineLevel="0" collapsed="false">
      <c r="A55" s="14" t="s">
        <v>4017</v>
      </c>
      <c r="B55" s="15" t="s">
        <v>606</v>
      </c>
      <c r="C55" s="15" t="s">
        <v>2419</v>
      </c>
      <c r="D55" s="15" t="s">
        <v>4018</v>
      </c>
      <c r="E55" s="15" t="s">
        <v>4019</v>
      </c>
      <c r="F55" s="15" t="s">
        <v>4020</v>
      </c>
      <c r="G55" s="15" t="s">
        <v>4021</v>
      </c>
      <c r="H55" s="15" t="s">
        <v>4022</v>
      </c>
      <c r="I55" s="15"/>
      <c r="J55" s="16" t="s">
        <v>44</v>
      </c>
      <c r="K55" s="17"/>
      <c r="L55" s="17"/>
    </row>
    <row r="56" customFormat="false" ht="58.2" hidden="false" customHeight="false" outlineLevel="0" collapsed="false">
      <c r="A56" s="14" t="s">
        <v>4023</v>
      </c>
      <c r="B56" s="15" t="s">
        <v>606</v>
      </c>
      <c r="C56" s="15" t="s">
        <v>2434</v>
      </c>
      <c r="D56" s="15" t="s">
        <v>4024</v>
      </c>
      <c r="E56" s="15" t="s">
        <v>4025</v>
      </c>
      <c r="F56" s="15" t="s">
        <v>4026</v>
      </c>
      <c r="G56" s="15" t="s">
        <v>4027</v>
      </c>
      <c r="H56" s="15" t="s">
        <v>4028</v>
      </c>
      <c r="I56" s="15"/>
      <c r="J56" s="16" t="s">
        <v>44</v>
      </c>
      <c r="K56" s="17"/>
      <c r="L56" s="17"/>
    </row>
  </sheetData>
  <autoFilter ref="A1:L56"/>
  <dataValidations count="1">
    <dataValidation allowBlank="false" errorStyle="stop" operator="between" showDropDown="false" showErrorMessage="false" showInputMessage="false" sqref="J2:J5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48.4"/>
    <col collapsed="false" customWidth="true" hidden="false" outlineLevel="0" max="6" min="6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148</v>
      </c>
      <c r="B1" s="13" t="s">
        <v>4029</v>
      </c>
      <c r="C1" s="13" t="s">
        <v>4030</v>
      </c>
      <c r="D1" s="13" t="s">
        <v>4031</v>
      </c>
      <c r="E1" s="13" t="s">
        <v>4032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58.2" hidden="false" customHeight="false" outlineLevel="0" collapsed="false">
      <c r="A2" s="14" t="s">
        <v>4033</v>
      </c>
      <c r="B2" s="15" t="s">
        <v>168</v>
      </c>
      <c r="C2" s="15" t="s">
        <v>168</v>
      </c>
      <c r="D2" s="15" t="s">
        <v>4034</v>
      </c>
      <c r="E2" s="15" t="s">
        <v>4035</v>
      </c>
      <c r="F2" s="15" t="s">
        <v>4036</v>
      </c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4037</v>
      </c>
      <c r="B3" s="15" t="s">
        <v>168</v>
      </c>
      <c r="C3" s="15" t="s">
        <v>180</v>
      </c>
      <c r="D3" s="15" t="s">
        <v>4038</v>
      </c>
      <c r="E3" s="15" t="s">
        <v>4039</v>
      </c>
      <c r="F3" s="15" t="s">
        <v>4040</v>
      </c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4041</v>
      </c>
      <c r="B4" s="15" t="s">
        <v>168</v>
      </c>
      <c r="C4" s="15" t="s">
        <v>191</v>
      </c>
      <c r="D4" s="15" t="s">
        <v>4042</v>
      </c>
      <c r="E4" s="15" t="s">
        <v>4043</v>
      </c>
      <c r="F4" s="15" t="s">
        <v>4044</v>
      </c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4045</v>
      </c>
      <c r="B5" s="15" t="s">
        <v>168</v>
      </c>
      <c r="C5" s="15" t="s">
        <v>202</v>
      </c>
      <c r="D5" s="15" t="s">
        <v>4046</v>
      </c>
      <c r="E5" s="15" t="s">
        <v>4047</v>
      </c>
      <c r="F5" s="15"/>
      <c r="G5" s="16" t="s">
        <v>44</v>
      </c>
      <c r="H5" s="17"/>
      <c r="I5" s="17"/>
    </row>
    <row r="6" customFormat="false" ht="55.95" hidden="false" customHeight="false" outlineLevel="0" collapsed="false">
      <c r="A6" s="14" t="s">
        <v>4048</v>
      </c>
      <c r="B6" s="15" t="s">
        <v>180</v>
      </c>
      <c r="C6" s="15" t="s">
        <v>168</v>
      </c>
      <c r="D6" s="15" t="s">
        <v>4049</v>
      </c>
      <c r="E6" s="15" t="s">
        <v>4050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4051</v>
      </c>
      <c r="B7" s="15" t="s">
        <v>180</v>
      </c>
      <c r="C7" s="15" t="s">
        <v>180</v>
      </c>
      <c r="D7" s="15" t="s">
        <v>4052</v>
      </c>
      <c r="E7" s="15" t="s">
        <v>4053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4054</v>
      </c>
      <c r="B8" s="15" t="s">
        <v>180</v>
      </c>
      <c r="C8" s="15" t="s">
        <v>191</v>
      </c>
      <c r="D8" s="15" t="s">
        <v>4055</v>
      </c>
      <c r="E8" s="15" t="s">
        <v>4056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4057</v>
      </c>
      <c r="B9" s="15" t="s">
        <v>180</v>
      </c>
      <c r="C9" s="15" t="s">
        <v>202</v>
      </c>
      <c r="D9" s="15" t="s">
        <v>4058</v>
      </c>
      <c r="E9" s="15" t="s">
        <v>4059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4060</v>
      </c>
      <c r="B10" s="15" t="s">
        <v>191</v>
      </c>
      <c r="C10" s="15" t="s">
        <v>168</v>
      </c>
      <c r="D10" s="15" t="s">
        <v>4061</v>
      </c>
      <c r="E10" s="15" t="s">
        <v>4062</v>
      </c>
      <c r="F10" s="15"/>
      <c r="G10" s="16" t="s">
        <v>44</v>
      </c>
      <c r="H10" s="17"/>
      <c r="I10" s="17"/>
    </row>
    <row r="11" customFormat="false" ht="58.2" hidden="false" customHeight="false" outlineLevel="0" collapsed="false">
      <c r="A11" s="14" t="s">
        <v>4063</v>
      </c>
      <c r="B11" s="15" t="s">
        <v>191</v>
      </c>
      <c r="C11" s="15" t="s">
        <v>180</v>
      </c>
      <c r="D11" s="15" t="s">
        <v>4064</v>
      </c>
      <c r="E11" s="15" t="s">
        <v>4065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4066</v>
      </c>
      <c r="B12" s="15" t="s">
        <v>191</v>
      </c>
      <c r="C12" s="15" t="s">
        <v>191</v>
      </c>
      <c r="D12" s="15" t="s">
        <v>4067</v>
      </c>
      <c r="E12" s="15" t="s">
        <v>4068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4069</v>
      </c>
      <c r="B13" s="15" t="s">
        <v>191</v>
      </c>
      <c r="C13" s="15" t="s">
        <v>202</v>
      </c>
      <c r="D13" s="15" t="s">
        <v>4070</v>
      </c>
      <c r="E13" s="15" t="s">
        <v>4071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4072</v>
      </c>
      <c r="B14" s="15" t="s">
        <v>202</v>
      </c>
      <c r="C14" s="15" t="s">
        <v>168</v>
      </c>
      <c r="D14" s="15" t="s">
        <v>4073</v>
      </c>
      <c r="E14" s="15" t="s">
        <v>4074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4075</v>
      </c>
      <c r="B15" s="15" t="s">
        <v>202</v>
      </c>
      <c r="C15" s="15" t="s">
        <v>180</v>
      </c>
      <c r="D15" s="15" t="s">
        <v>4076</v>
      </c>
      <c r="E15" s="15" t="s">
        <v>4077</v>
      </c>
      <c r="F15" s="15"/>
      <c r="G15" s="16" t="s">
        <v>44</v>
      </c>
      <c r="H15" s="17"/>
      <c r="I15" s="17"/>
    </row>
    <row r="16" customFormat="false" ht="58.2" hidden="false" customHeight="false" outlineLevel="0" collapsed="false">
      <c r="A16" s="14" t="s">
        <v>4078</v>
      </c>
      <c r="B16" s="15" t="s">
        <v>202</v>
      </c>
      <c r="C16" s="15" t="s">
        <v>191</v>
      </c>
      <c r="D16" s="15" t="s">
        <v>4079</v>
      </c>
      <c r="E16" s="15" t="s">
        <v>4080</v>
      </c>
      <c r="F16" s="15"/>
      <c r="G16" s="16" t="s">
        <v>44</v>
      </c>
      <c r="H16" s="17"/>
      <c r="I16" s="17"/>
    </row>
    <row r="17" customFormat="false" ht="55.95" hidden="false" customHeight="false" outlineLevel="0" collapsed="false">
      <c r="A17" s="14" t="s">
        <v>4081</v>
      </c>
      <c r="B17" s="15" t="s">
        <v>202</v>
      </c>
      <c r="C17" s="15" t="s">
        <v>202</v>
      </c>
      <c r="D17" s="15" t="s">
        <v>4082</v>
      </c>
      <c r="E17" s="15" t="s">
        <v>4083</v>
      </c>
      <c r="F17" s="15"/>
      <c r="G17" s="16" t="s">
        <v>44</v>
      </c>
      <c r="H17" s="17"/>
      <c r="I17" s="17"/>
    </row>
  </sheetData>
  <autoFilter ref="A1:I17"/>
  <dataValidations count="1">
    <dataValidation allowBlank="false" errorStyle="stop" operator="between" showDropDown="false" showErrorMessage="false" showInputMessage="false" sqref="G2:G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8"/>
    <col collapsed="false" customWidth="true" hidden="false" outlineLevel="0" max="5" min="4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148</v>
      </c>
      <c r="B1" s="13" t="s">
        <v>4084</v>
      </c>
      <c r="C1" s="13" t="s">
        <v>4085</v>
      </c>
      <c r="D1" s="13" t="s">
        <v>724</v>
      </c>
      <c r="E1" s="13" t="s">
        <v>159</v>
      </c>
      <c r="F1" s="13" t="s">
        <v>160</v>
      </c>
      <c r="G1" s="13" t="s">
        <v>161</v>
      </c>
      <c r="H1" s="13" t="s">
        <v>162</v>
      </c>
    </row>
    <row r="2" customFormat="false" ht="58.2" hidden="false" customHeight="false" outlineLevel="0" collapsed="false">
      <c r="A2" s="14" t="s">
        <v>4086</v>
      </c>
      <c r="B2" s="15" t="s">
        <v>4087</v>
      </c>
      <c r="C2" s="15" t="s">
        <v>4088</v>
      </c>
      <c r="D2" s="14" t="s">
        <v>4089</v>
      </c>
      <c r="E2" s="15"/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4090</v>
      </c>
      <c r="B3" s="15" t="s">
        <v>4087</v>
      </c>
      <c r="C3" s="14" t="s">
        <v>4091</v>
      </c>
      <c r="D3" s="14" t="s">
        <v>4092</v>
      </c>
      <c r="E3" s="15"/>
      <c r="F3" s="16" t="s">
        <v>44</v>
      </c>
      <c r="G3" s="17"/>
      <c r="H3" s="17"/>
    </row>
    <row r="4" customFormat="false" ht="58.2" hidden="false" customHeight="false" outlineLevel="0" collapsed="false">
      <c r="A4" s="14" t="s">
        <v>4093</v>
      </c>
      <c r="B4" s="15" t="s">
        <v>4094</v>
      </c>
      <c r="C4" s="15" t="s">
        <v>4088</v>
      </c>
      <c r="D4" s="14" t="s">
        <v>4095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4096</v>
      </c>
      <c r="B5" s="15" t="s">
        <v>4094</v>
      </c>
      <c r="C5" s="14" t="s">
        <v>4091</v>
      </c>
      <c r="D5" s="14" t="s">
        <v>4097</v>
      </c>
      <c r="E5" s="15"/>
      <c r="F5" s="16" t="s">
        <v>44</v>
      </c>
      <c r="G5" s="17"/>
      <c r="H5" s="17"/>
    </row>
    <row r="6" customFormat="false" ht="58.2" hidden="false" customHeight="false" outlineLevel="0" collapsed="false">
      <c r="A6" s="14" t="s">
        <v>4098</v>
      </c>
      <c r="B6" s="15" t="s">
        <v>4099</v>
      </c>
      <c r="C6" s="15" t="s">
        <v>4088</v>
      </c>
      <c r="D6" s="14" t="s">
        <v>4100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4101</v>
      </c>
      <c r="B7" s="15" t="s">
        <v>4099</v>
      </c>
      <c r="C7" s="14" t="s">
        <v>4091</v>
      </c>
      <c r="D7" s="14" t="s">
        <v>4102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4103</v>
      </c>
      <c r="B8" s="15" t="s">
        <v>4104</v>
      </c>
      <c r="C8" s="15" t="s">
        <v>4088</v>
      </c>
      <c r="D8" s="14" t="s">
        <v>4105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4106</v>
      </c>
      <c r="B9" s="15" t="s">
        <v>4104</v>
      </c>
      <c r="C9" s="14" t="s">
        <v>4091</v>
      </c>
      <c r="D9" s="14" t="s">
        <v>4107</v>
      </c>
      <c r="E9" s="15"/>
      <c r="F9" s="16" t="s">
        <v>44</v>
      </c>
      <c r="G9" s="17"/>
      <c r="H9" s="17"/>
    </row>
    <row r="10" customFormat="false" ht="58.2" hidden="false" customHeight="false" outlineLevel="0" collapsed="false">
      <c r="A10" s="14" t="s">
        <v>4108</v>
      </c>
      <c r="B10" s="15" t="s">
        <v>4109</v>
      </c>
      <c r="C10" s="15" t="s">
        <v>4088</v>
      </c>
      <c r="D10" s="14" t="s">
        <v>4110</v>
      </c>
      <c r="E10" s="15" t="s">
        <v>4111</v>
      </c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4112</v>
      </c>
      <c r="B11" s="15" t="s">
        <v>4113</v>
      </c>
      <c r="C11" s="15" t="s">
        <v>4088</v>
      </c>
      <c r="D11" s="14" t="s">
        <v>4114</v>
      </c>
      <c r="E11" s="15" t="s">
        <v>4115</v>
      </c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4116</v>
      </c>
      <c r="B12" s="15" t="s">
        <v>4117</v>
      </c>
      <c r="C12" s="15" t="s">
        <v>4118</v>
      </c>
      <c r="D12" s="14" t="s">
        <v>4119</v>
      </c>
      <c r="E12" s="14" t="s">
        <v>4120</v>
      </c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4121</v>
      </c>
      <c r="B13" s="15" t="s">
        <v>4122</v>
      </c>
      <c r="C13" s="15" t="s">
        <v>4118</v>
      </c>
      <c r="D13" s="14" t="s">
        <v>4123</v>
      </c>
      <c r="E13" s="15" t="s">
        <v>4124</v>
      </c>
      <c r="F13" s="16" t="s">
        <v>44</v>
      </c>
      <c r="G13" s="17"/>
      <c r="H13" s="17"/>
    </row>
    <row r="14" customFormat="false" ht="58.2" hidden="false" customHeight="false" outlineLevel="0" collapsed="false">
      <c r="A14" s="14" t="s">
        <v>4125</v>
      </c>
      <c r="B14" s="15" t="s">
        <v>4126</v>
      </c>
      <c r="C14" s="15" t="s">
        <v>4118</v>
      </c>
      <c r="D14" s="14" t="s">
        <v>4127</v>
      </c>
      <c r="E14" s="15" t="s">
        <v>4128</v>
      </c>
      <c r="F14" s="16" t="s">
        <v>44</v>
      </c>
      <c r="G14" s="17"/>
      <c r="H14" s="17"/>
    </row>
    <row r="15" customFormat="false" ht="58.2" hidden="false" customHeight="false" outlineLevel="0" collapsed="false">
      <c r="A15" s="14" t="s">
        <v>4129</v>
      </c>
      <c r="B15" s="15" t="s">
        <v>4130</v>
      </c>
      <c r="C15" s="15" t="s">
        <v>4118</v>
      </c>
      <c r="D15" s="14" t="s">
        <v>4131</v>
      </c>
      <c r="E15" s="14" t="s">
        <v>4132</v>
      </c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4133</v>
      </c>
      <c r="B16" s="15" t="s">
        <v>4134</v>
      </c>
      <c r="C16" s="15" t="s">
        <v>4118</v>
      </c>
      <c r="D16" s="14" t="s">
        <v>4135</v>
      </c>
      <c r="E16" s="15"/>
      <c r="F16" s="16" t="s">
        <v>44</v>
      </c>
      <c r="G16" s="17"/>
      <c r="H16" s="17"/>
    </row>
    <row r="17" customFormat="false" ht="58.2" hidden="false" customHeight="false" outlineLevel="0" collapsed="false">
      <c r="A17" s="14" t="s">
        <v>4136</v>
      </c>
      <c r="B17" s="15" t="s">
        <v>4137</v>
      </c>
      <c r="C17" s="15" t="s">
        <v>4118</v>
      </c>
      <c r="D17" s="14" t="s">
        <v>4138</v>
      </c>
      <c r="E17" s="15" t="s">
        <v>4139</v>
      </c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4140</v>
      </c>
      <c r="B18" s="15" t="s">
        <v>4141</v>
      </c>
      <c r="C18" s="15" t="s">
        <v>4118</v>
      </c>
      <c r="D18" s="14" t="s">
        <v>4142</v>
      </c>
      <c r="E18" s="14" t="s">
        <v>4143</v>
      </c>
      <c r="F18" s="16" t="s">
        <v>44</v>
      </c>
      <c r="G18" s="17"/>
      <c r="H18" s="17"/>
    </row>
    <row r="19" customFormat="false" ht="44" hidden="false" customHeight="false" outlineLevel="0" collapsed="false">
      <c r="A19" s="14" t="s">
        <v>4144</v>
      </c>
      <c r="B19" s="15" t="s">
        <v>4145</v>
      </c>
      <c r="C19" s="15" t="s">
        <v>4118</v>
      </c>
      <c r="D19" s="14" t="s">
        <v>4146</v>
      </c>
      <c r="E19" s="14" t="s">
        <v>4147</v>
      </c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4148</v>
      </c>
      <c r="B20" s="15" t="s">
        <v>4149</v>
      </c>
      <c r="C20" s="15" t="s">
        <v>4118</v>
      </c>
      <c r="D20" s="14" t="s">
        <v>4150</v>
      </c>
      <c r="E20" s="15" t="s">
        <v>4151</v>
      </c>
      <c r="F20" s="16" t="s">
        <v>44</v>
      </c>
      <c r="G20" s="17"/>
      <c r="H20" s="17"/>
    </row>
    <row r="21" customFormat="false" ht="58.2" hidden="false" customHeight="false" outlineLevel="0" collapsed="false">
      <c r="A21" s="14" t="s">
        <v>4152</v>
      </c>
      <c r="B21" s="15" t="s">
        <v>4153</v>
      </c>
      <c r="C21" s="15" t="s">
        <v>4118</v>
      </c>
      <c r="D21" s="15" t="s">
        <v>4154</v>
      </c>
      <c r="E21" s="14" t="s">
        <v>4155</v>
      </c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1.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148</v>
      </c>
      <c r="B1" s="13" t="s">
        <v>1489</v>
      </c>
      <c r="C1" s="13" t="s">
        <v>149</v>
      </c>
      <c r="D1" s="13" t="s">
        <v>4156</v>
      </c>
      <c r="E1" s="13" t="s">
        <v>279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44" hidden="false" customHeight="false" outlineLevel="0" collapsed="false">
      <c r="A2" s="14" t="s">
        <v>4157</v>
      </c>
      <c r="B2" s="15" t="s">
        <v>193</v>
      </c>
      <c r="C2" s="15" t="s">
        <v>164</v>
      </c>
      <c r="D2" s="15" t="s">
        <v>4158</v>
      </c>
      <c r="E2" s="15" t="s">
        <v>4159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4160</v>
      </c>
      <c r="B3" s="15" t="s">
        <v>193</v>
      </c>
      <c r="C3" s="15" t="s">
        <v>176</v>
      </c>
      <c r="D3" s="15" t="s">
        <v>4161</v>
      </c>
      <c r="E3" s="15" t="s">
        <v>4162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4163</v>
      </c>
      <c r="B4" s="15" t="s">
        <v>193</v>
      </c>
      <c r="C4" s="15" t="s">
        <v>187</v>
      </c>
      <c r="D4" s="15" t="s">
        <v>4164</v>
      </c>
      <c r="E4" s="15" t="s">
        <v>4165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4166</v>
      </c>
      <c r="B5" s="15" t="s">
        <v>193</v>
      </c>
      <c r="C5" s="15" t="s">
        <v>198</v>
      </c>
      <c r="D5" s="15" t="s">
        <v>4167</v>
      </c>
      <c r="E5" s="15" t="s">
        <v>4168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4169</v>
      </c>
      <c r="B6" s="15" t="s">
        <v>193</v>
      </c>
      <c r="C6" s="15" t="s">
        <v>208</v>
      </c>
      <c r="D6" s="15" t="s">
        <v>4170</v>
      </c>
      <c r="E6" s="15" t="s">
        <v>4171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4172</v>
      </c>
      <c r="B7" s="15" t="s">
        <v>193</v>
      </c>
      <c r="C7" s="15" t="s">
        <v>217</v>
      </c>
      <c r="D7" s="15" t="s">
        <v>4173</v>
      </c>
      <c r="E7" s="15" t="s">
        <v>4174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4175</v>
      </c>
      <c r="B8" s="15" t="s">
        <v>193</v>
      </c>
      <c r="C8" s="15" t="s">
        <v>225</v>
      </c>
      <c r="D8" s="15" t="s">
        <v>4176</v>
      </c>
      <c r="E8" s="15" t="s">
        <v>4177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4178</v>
      </c>
      <c r="B9" s="15" t="s">
        <v>193</v>
      </c>
      <c r="C9" s="15" t="s">
        <v>233</v>
      </c>
      <c r="D9" s="15" t="s">
        <v>4179</v>
      </c>
      <c r="E9" s="15" t="s">
        <v>4180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4181</v>
      </c>
      <c r="B10" s="15" t="s">
        <v>193</v>
      </c>
      <c r="C10" s="15" t="s">
        <v>243</v>
      </c>
      <c r="D10" s="15" t="s">
        <v>4182</v>
      </c>
      <c r="E10" s="15" t="s">
        <v>4183</v>
      </c>
      <c r="F10" s="15"/>
      <c r="G10" s="16" t="s">
        <v>44</v>
      </c>
      <c r="H10" s="17"/>
      <c r="I10" s="17"/>
    </row>
    <row r="11" customFormat="false" ht="55.95" hidden="false" customHeight="false" outlineLevel="0" collapsed="false">
      <c r="A11" s="14" t="s">
        <v>4184</v>
      </c>
      <c r="B11" s="15" t="s">
        <v>193</v>
      </c>
      <c r="C11" s="15" t="s">
        <v>252</v>
      </c>
      <c r="D11" s="15" t="s">
        <v>4185</v>
      </c>
      <c r="E11" s="15" t="s">
        <v>4186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4187</v>
      </c>
      <c r="B12" s="15" t="s">
        <v>193</v>
      </c>
      <c r="C12" s="15" t="s">
        <v>261</v>
      </c>
      <c r="D12" s="15" t="s">
        <v>4188</v>
      </c>
      <c r="E12" s="15" t="s">
        <v>4189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4190</v>
      </c>
      <c r="B13" s="15" t="s">
        <v>193</v>
      </c>
      <c r="C13" s="15" t="s">
        <v>270</v>
      </c>
      <c r="D13" s="15" t="s">
        <v>4191</v>
      </c>
      <c r="E13" s="15" t="s">
        <v>4192</v>
      </c>
      <c r="F13" s="15" t="s">
        <v>4193</v>
      </c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4194</v>
      </c>
      <c r="B14" s="15" t="s">
        <v>182</v>
      </c>
      <c r="C14" s="15" t="s">
        <v>164</v>
      </c>
      <c r="D14" s="15" t="s">
        <v>4195</v>
      </c>
      <c r="E14" s="15" t="s">
        <v>4196</v>
      </c>
      <c r="F14" s="15" t="s">
        <v>4197</v>
      </c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4198</v>
      </c>
      <c r="B15" s="15" t="s">
        <v>182</v>
      </c>
      <c r="C15" s="15" t="s">
        <v>176</v>
      </c>
      <c r="D15" s="15" t="s">
        <v>4199</v>
      </c>
      <c r="E15" s="15" t="s">
        <v>4200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4201</v>
      </c>
      <c r="B16" s="15" t="s">
        <v>182</v>
      </c>
      <c r="C16" s="15" t="s">
        <v>187</v>
      </c>
      <c r="D16" s="15" t="s">
        <v>4202</v>
      </c>
      <c r="E16" s="15" t="s">
        <v>4203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4204</v>
      </c>
      <c r="B17" s="15" t="s">
        <v>182</v>
      </c>
      <c r="C17" s="15" t="s">
        <v>198</v>
      </c>
      <c r="D17" s="15" t="s">
        <v>4205</v>
      </c>
      <c r="E17" s="15" t="s">
        <v>4206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4207</v>
      </c>
      <c r="B18" s="15" t="s">
        <v>182</v>
      </c>
      <c r="C18" s="15" t="s">
        <v>208</v>
      </c>
      <c r="D18" s="15" t="s">
        <v>4208</v>
      </c>
      <c r="E18" s="15" t="s">
        <v>4209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4210</v>
      </c>
      <c r="B19" s="15" t="s">
        <v>182</v>
      </c>
      <c r="C19" s="15" t="s">
        <v>217</v>
      </c>
      <c r="D19" s="15" t="s">
        <v>4211</v>
      </c>
      <c r="E19" s="15" t="s">
        <v>4212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4213</v>
      </c>
      <c r="B20" s="15" t="s">
        <v>182</v>
      </c>
      <c r="C20" s="15" t="s">
        <v>225</v>
      </c>
      <c r="D20" s="15" t="s">
        <v>4214</v>
      </c>
      <c r="E20" s="15" t="s">
        <v>4215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4216</v>
      </c>
      <c r="B21" s="15" t="s">
        <v>182</v>
      </c>
      <c r="C21" s="15" t="s">
        <v>233</v>
      </c>
      <c r="D21" s="15" t="s">
        <v>4217</v>
      </c>
      <c r="E21" s="15" t="s">
        <v>4218</v>
      </c>
      <c r="F21" s="15" t="s">
        <v>4219</v>
      </c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4220</v>
      </c>
      <c r="B22" s="15" t="s">
        <v>182</v>
      </c>
      <c r="C22" s="15" t="s">
        <v>243</v>
      </c>
      <c r="D22" s="15" t="s">
        <v>4221</v>
      </c>
      <c r="E22" s="15" t="s">
        <v>4222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4223</v>
      </c>
      <c r="B23" s="15" t="s">
        <v>182</v>
      </c>
      <c r="C23" s="15" t="s">
        <v>252</v>
      </c>
      <c r="D23" s="15" t="s">
        <v>4224</v>
      </c>
      <c r="E23" s="15" t="s">
        <v>4225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4226</v>
      </c>
      <c r="B24" s="15" t="s">
        <v>182</v>
      </c>
      <c r="C24" s="15" t="s">
        <v>261</v>
      </c>
      <c r="D24" s="15" t="s">
        <v>4227</v>
      </c>
      <c r="E24" s="15" t="s">
        <v>4228</v>
      </c>
      <c r="F24" s="15"/>
      <c r="G24" s="16" t="s">
        <v>44</v>
      </c>
      <c r="H24" s="17"/>
      <c r="I24" s="17"/>
    </row>
    <row r="25" customFormat="false" ht="58.2" hidden="false" customHeight="false" outlineLevel="0" collapsed="false">
      <c r="A25" s="14" t="s">
        <v>4229</v>
      </c>
      <c r="B25" s="15" t="s">
        <v>182</v>
      </c>
      <c r="C25" s="15" t="s">
        <v>270</v>
      </c>
      <c r="D25" s="15" t="s">
        <v>4230</v>
      </c>
      <c r="E25" s="15" t="s">
        <v>4231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4232</v>
      </c>
      <c r="B26" s="15" t="s">
        <v>170</v>
      </c>
      <c r="C26" s="15" t="s">
        <v>164</v>
      </c>
      <c r="D26" s="15" t="s">
        <v>4233</v>
      </c>
      <c r="E26" s="15" t="s">
        <v>4234</v>
      </c>
      <c r="F26" s="15"/>
      <c r="G26" s="16" t="s">
        <v>44</v>
      </c>
      <c r="H26" s="17"/>
      <c r="I26" s="17"/>
    </row>
    <row r="27" customFormat="false" ht="58.2" hidden="false" customHeight="false" outlineLevel="0" collapsed="false">
      <c r="A27" s="14" t="s">
        <v>4235</v>
      </c>
      <c r="B27" s="15" t="s">
        <v>170</v>
      </c>
      <c r="C27" s="15" t="s">
        <v>176</v>
      </c>
      <c r="D27" s="15" t="s">
        <v>4236</v>
      </c>
      <c r="E27" s="15" t="s">
        <v>4237</v>
      </c>
      <c r="F27" s="15"/>
      <c r="G27" s="16" t="s">
        <v>44</v>
      </c>
      <c r="H27" s="17"/>
      <c r="I27" s="17"/>
    </row>
    <row r="28" customFormat="false" ht="58.2" hidden="false" customHeight="false" outlineLevel="0" collapsed="false">
      <c r="A28" s="14" t="s">
        <v>4238</v>
      </c>
      <c r="B28" s="15" t="s">
        <v>170</v>
      </c>
      <c r="C28" s="15" t="s">
        <v>187</v>
      </c>
      <c r="D28" s="15" t="s">
        <v>4239</v>
      </c>
      <c r="E28" s="15" t="s">
        <v>4240</v>
      </c>
      <c r="F28" s="15"/>
      <c r="G28" s="16" t="s">
        <v>44</v>
      </c>
      <c r="H28" s="17"/>
      <c r="I28" s="17"/>
    </row>
    <row r="29" customFormat="false" ht="58.2" hidden="false" customHeight="false" outlineLevel="0" collapsed="false">
      <c r="A29" s="14" t="s">
        <v>4241</v>
      </c>
      <c r="B29" s="15" t="s">
        <v>170</v>
      </c>
      <c r="C29" s="15" t="s">
        <v>198</v>
      </c>
      <c r="D29" s="15" t="s">
        <v>4242</v>
      </c>
      <c r="E29" s="15" t="s">
        <v>4243</v>
      </c>
      <c r="F29" s="15" t="s">
        <v>4244</v>
      </c>
      <c r="G29" s="16" t="s">
        <v>44</v>
      </c>
      <c r="H29" s="17"/>
      <c r="I29" s="17"/>
    </row>
    <row r="30" customFormat="false" ht="58.2" hidden="false" customHeight="false" outlineLevel="0" collapsed="false">
      <c r="A30" s="14" t="s">
        <v>4245</v>
      </c>
      <c r="B30" s="15" t="s">
        <v>170</v>
      </c>
      <c r="C30" s="15" t="s">
        <v>208</v>
      </c>
      <c r="D30" s="15" t="s">
        <v>4246</v>
      </c>
      <c r="E30" s="15" t="s">
        <v>4247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4248</v>
      </c>
      <c r="B31" s="15" t="s">
        <v>170</v>
      </c>
      <c r="C31" s="15" t="s">
        <v>217</v>
      </c>
      <c r="D31" s="15" t="s">
        <v>4249</v>
      </c>
      <c r="E31" s="15" t="s">
        <v>4250</v>
      </c>
      <c r="F31" s="15"/>
      <c r="G31" s="16" t="s">
        <v>44</v>
      </c>
      <c r="H31" s="17"/>
      <c r="I31" s="17"/>
    </row>
    <row r="32" customFormat="false" ht="58.2" hidden="false" customHeight="false" outlineLevel="0" collapsed="false">
      <c r="A32" s="14" t="s">
        <v>4251</v>
      </c>
      <c r="B32" s="15" t="s">
        <v>170</v>
      </c>
      <c r="C32" s="15" t="s">
        <v>225</v>
      </c>
      <c r="D32" s="15" t="s">
        <v>4252</v>
      </c>
      <c r="E32" s="15" t="s">
        <v>4253</v>
      </c>
      <c r="F32" s="15"/>
      <c r="G32" s="16" t="s">
        <v>44</v>
      </c>
      <c r="H32" s="17"/>
      <c r="I32" s="17"/>
    </row>
    <row r="33" customFormat="false" ht="58.2" hidden="false" customHeight="false" outlineLevel="0" collapsed="false">
      <c r="A33" s="14" t="s">
        <v>4254</v>
      </c>
      <c r="B33" s="15" t="s">
        <v>170</v>
      </c>
      <c r="C33" s="15" t="s">
        <v>233</v>
      </c>
      <c r="D33" s="15" t="s">
        <v>4255</v>
      </c>
      <c r="E33" s="15" t="s">
        <v>4256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4257</v>
      </c>
      <c r="B34" s="15" t="s">
        <v>170</v>
      </c>
      <c r="C34" s="15" t="s">
        <v>243</v>
      </c>
      <c r="D34" s="15" t="s">
        <v>4258</v>
      </c>
      <c r="E34" s="15" t="s">
        <v>4259</v>
      </c>
      <c r="F34" s="15"/>
      <c r="G34" s="16" t="s">
        <v>44</v>
      </c>
      <c r="H34" s="17"/>
      <c r="I34" s="17"/>
    </row>
    <row r="35" customFormat="false" ht="58.2" hidden="false" customHeight="false" outlineLevel="0" collapsed="false">
      <c r="A35" s="14" t="s">
        <v>4260</v>
      </c>
      <c r="B35" s="15" t="s">
        <v>170</v>
      </c>
      <c r="C35" s="15" t="s">
        <v>252</v>
      </c>
      <c r="D35" s="15" t="s">
        <v>4261</v>
      </c>
      <c r="E35" s="15" t="s">
        <v>4262</v>
      </c>
      <c r="F35" s="15"/>
      <c r="G35" s="16" t="s">
        <v>44</v>
      </c>
      <c r="H35" s="17"/>
      <c r="I35" s="17"/>
    </row>
    <row r="36" customFormat="false" ht="58.2" hidden="false" customHeight="false" outlineLevel="0" collapsed="false">
      <c r="A36" s="14" t="s">
        <v>4263</v>
      </c>
      <c r="B36" s="15" t="s">
        <v>170</v>
      </c>
      <c r="C36" s="15" t="s">
        <v>261</v>
      </c>
      <c r="D36" s="15" t="s">
        <v>4264</v>
      </c>
      <c r="E36" s="15" t="s">
        <v>4265</v>
      </c>
      <c r="F36" s="15"/>
      <c r="G36" s="16" t="s">
        <v>44</v>
      </c>
      <c r="H36" s="17"/>
      <c r="I36" s="17"/>
    </row>
    <row r="37" customFormat="false" ht="58.2" hidden="false" customHeight="false" outlineLevel="0" collapsed="false">
      <c r="A37" s="14" t="s">
        <v>4266</v>
      </c>
      <c r="B37" s="15" t="s">
        <v>170</v>
      </c>
      <c r="C37" s="15" t="s">
        <v>270</v>
      </c>
      <c r="D37" s="15" t="s">
        <v>4267</v>
      </c>
      <c r="E37" s="15" t="s">
        <v>4268</v>
      </c>
      <c r="F37" s="15"/>
      <c r="G37" s="16" t="s">
        <v>44</v>
      </c>
      <c r="H37" s="17"/>
      <c r="I37" s="17"/>
    </row>
    <row r="38" customFormat="false" ht="55.95" hidden="false" customHeight="false" outlineLevel="0" collapsed="false">
      <c r="A38" s="14" t="s">
        <v>4269</v>
      </c>
      <c r="B38" s="15" t="s">
        <v>247</v>
      </c>
      <c r="C38" s="15" t="s">
        <v>164</v>
      </c>
      <c r="D38" s="15" t="s">
        <v>4270</v>
      </c>
      <c r="E38" s="15" t="s">
        <v>4271</v>
      </c>
      <c r="F38" s="15" t="s">
        <v>4272</v>
      </c>
      <c r="G38" s="16" t="s">
        <v>44</v>
      </c>
      <c r="H38" s="17"/>
      <c r="I38" s="17"/>
    </row>
    <row r="39" customFormat="false" ht="58.2" hidden="false" customHeight="false" outlineLevel="0" collapsed="false">
      <c r="A39" s="14" t="s">
        <v>4273</v>
      </c>
      <c r="B39" s="15" t="s">
        <v>247</v>
      </c>
      <c r="C39" s="15" t="s">
        <v>176</v>
      </c>
      <c r="D39" s="15" t="s">
        <v>4274</v>
      </c>
      <c r="E39" s="15" t="s">
        <v>4275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4276</v>
      </c>
      <c r="B40" s="15" t="s">
        <v>247</v>
      </c>
      <c r="C40" s="15" t="s">
        <v>187</v>
      </c>
      <c r="D40" s="15" t="s">
        <v>4277</v>
      </c>
      <c r="E40" s="15" t="s">
        <v>4278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4279</v>
      </c>
      <c r="B41" s="15" t="s">
        <v>247</v>
      </c>
      <c r="C41" s="15" t="s">
        <v>198</v>
      </c>
      <c r="D41" s="15" t="s">
        <v>4280</v>
      </c>
      <c r="E41" s="15" t="s">
        <v>4281</v>
      </c>
      <c r="F41" s="15" t="s">
        <v>4282</v>
      </c>
      <c r="G41" s="16" t="s">
        <v>44</v>
      </c>
      <c r="H41" s="17"/>
      <c r="I41" s="17"/>
    </row>
    <row r="42" customFormat="false" ht="58.2" hidden="false" customHeight="false" outlineLevel="0" collapsed="false">
      <c r="A42" s="14" t="s">
        <v>4283</v>
      </c>
      <c r="B42" s="15" t="s">
        <v>247</v>
      </c>
      <c r="C42" s="15" t="s">
        <v>208</v>
      </c>
      <c r="D42" s="15" t="s">
        <v>4284</v>
      </c>
      <c r="E42" s="15" t="s">
        <v>4285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4286</v>
      </c>
      <c r="B43" s="15" t="s">
        <v>247</v>
      </c>
      <c r="C43" s="15" t="s">
        <v>217</v>
      </c>
      <c r="D43" s="15" t="s">
        <v>4287</v>
      </c>
      <c r="E43" s="15" t="s">
        <v>4288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4289</v>
      </c>
      <c r="B44" s="15" t="s">
        <v>247</v>
      </c>
      <c r="C44" s="15" t="s">
        <v>225</v>
      </c>
      <c r="D44" s="15" t="s">
        <v>4290</v>
      </c>
      <c r="E44" s="15" t="s">
        <v>4291</v>
      </c>
      <c r="F44" s="15"/>
      <c r="G44" s="16" t="s">
        <v>44</v>
      </c>
      <c r="H44" s="17"/>
      <c r="I44" s="17"/>
    </row>
    <row r="45" customFormat="false" ht="55.95" hidden="false" customHeight="false" outlineLevel="0" collapsed="false">
      <c r="A45" s="14" t="s">
        <v>4292</v>
      </c>
      <c r="B45" s="15" t="s">
        <v>247</v>
      </c>
      <c r="C45" s="15" t="s">
        <v>233</v>
      </c>
      <c r="D45" s="15" t="s">
        <v>4293</v>
      </c>
      <c r="E45" s="15" t="s">
        <v>4294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4295</v>
      </c>
      <c r="B46" s="15" t="s">
        <v>247</v>
      </c>
      <c r="C46" s="15" t="s">
        <v>243</v>
      </c>
      <c r="D46" s="15" t="s">
        <v>4296</v>
      </c>
      <c r="E46" s="15" t="s">
        <v>4297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4298</v>
      </c>
      <c r="B47" s="15" t="s">
        <v>247</v>
      </c>
      <c r="C47" s="15" t="s">
        <v>252</v>
      </c>
      <c r="D47" s="15" t="s">
        <v>4299</v>
      </c>
      <c r="E47" s="15" t="s">
        <v>4300</v>
      </c>
      <c r="F47" s="15" t="s">
        <v>4301</v>
      </c>
      <c r="G47" s="16" t="s">
        <v>44</v>
      </c>
      <c r="H47" s="17"/>
      <c r="I47" s="17"/>
    </row>
    <row r="48" customFormat="false" ht="58.2" hidden="false" customHeight="false" outlineLevel="0" collapsed="false">
      <c r="A48" s="14" t="s">
        <v>4302</v>
      </c>
      <c r="B48" s="15" t="s">
        <v>247</v>
      </c>
      <c r="C48" s="15" t="s">
        <v>261</v>
      </c>
      <c r="D48" s="15" t="s">
        <v>4303</v>
      </c>
      <c r="E48" s="15" t="s">
        <v>4304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4305</v>
      </c>
      <c r="B49" s="15" t="s">
        <v>247</v>
      </c>
      <c r="C49" s="15" t="s">
        <v>270</v>
      </c>
      <c r="D49" s="15" t="s">
        <v>4306</v>
      </c>
      <c r="E49" s="15" t="s">
        <v>4307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4308</v>
      </c>
      <c r="B50" s="15" t="s">
        <v>256</v>
      </c>
      <c r="C50" s="15" t="s">
        <v>164</v>
      </c>
      <c r="D50" s="15" t="s">
        <v>4309</v>
      </c>
      <c r="E50" s="15" t="s">
        <v>4310</v>
      </c>
      <c r="F50" s="15" t="s">
        <v>4311</v>
      </c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4312</v>
      </c>
      <c r="B51" s="15" t="s">
        <v>256</v>
      </c>
      <c r="C51" s="15" t="s">
        <v>176</v>
      </c>
      <c r="D51" s="15" t="s">
        <v>4313</v>
      </c>
      <c r="E51" s="15" t="s">
        <v>4314</v>
      </c>
      <c r="F51" s="15"/>
      <c r="G51" s="16" t="s">
        <v>44</v>
      </c>
      <c r="H51" s="17"/>
      <c r="I51" s="17"/>
    </row>
    <row r="52" customFormat="false" ht="58.2" hidden="false" customHeight="false" outlineLevel="0" collapsed="false">
      <c r="A52" s="14" t="s">
        <v>4315</v>
      </c>
      <c r="B52" s="15" t="s">
        <v>256</v>
      </c>
      <c r="C52" s="15" t="s">
        <v>187</v>
      </c>
      <c r="D52" s="15" t="s">
        <v>4316</v>
      </c>
      <c r="E52" s="15" t="s">
        <v>4317</v>
      </c>
      <c r="F52" s="15"/>
      <c r="G52" s="16" t="s">
        <v>44</v>
      </c>
      <c r="H52" s="17"/>
      <c r="I52" s="17"/>
    </row>
    <row r="53" customFormat="false" ht="55.95" hidden="false" customHeight="false" outlineLevel="0" collapsed="false">
      <c r="A53" s="14" t="s">
        <v>4318</v>
      </c>
      <c r="B53" s="15" t="s">
        <v>256</v>
      </c>
      <c r="C53" s="15" t="s">
        <v>198</v>
      </c>
      <c r="D53" s="15" t="s">
        <v>4319</v>
      </c>
      <c r="E53" s="15" t="s">
        <v>4320</v>
      </c>
      <c r="F53" s="15" t="s">
        <v>4321</v>
      </c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4322</v>
      </c>
      <c r="B54" s="15" t="s">
        <v>256</v>
      </c>
      <c r="C54" s="15" t="s">
        <v>208</v>
      </c>
      <c r="D54" s="15" t="s">
        <v>4323</v>
      </c>
      <c r="E54" s="15" t="s">
        <v>4324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4325</v>
      </c>
      <c r="B55" s="15" t="s">
        <v>256</v>
      </c>
      <c r="C55" s="15" t="s">
        <v>217</v>
      </c>
      <c r="D55" s="15" t="s">
        <v>4326</v>
      </c>
      <c r="E55" s="15" t="s">
        <v>4327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4328</v>
      </c>
      <c r="B56" s="15" t="s">
        <v>256</v>
      </c>
      <c r="C56" s="15" t="s">
        <v>225</v>
      </c>
      <c r="D56" s="15" t="s">
        <v>4329</v>
      </c>
      <c r="E56" s="15" t="s">
        <v>4330</v>
      </c>
      <c r="F56" s="15" t="s">
        <v>4331</v>
      </c>
      <c r="G56" s="16" t="s">
        <v>44</v>
      </c>
      <c r="H56" s="17"/>
      <c r="I56" s="17"/>
    </row>
    <row r="57" customFormat="false" ht="58.2" hidden="false" customHeight="false" outlineLevel="0" collapsed="false">
      <c r="A57" s="14" t="s">
        <v>4332</v>
      </c>
      <c r="B57" s="15" t="s">
        <v>256</v>
      </c>
      <c r="C57" s="15" t="s">
        <v>233</v>
      </c>
      <c r="D57" s="15" t="s">
        <v>4333</v>
      </c>
      <c r="E57" s="15" t="s">
        <v>4334</v>
      </c>
      <c r="F57" s="15"/>
      <c r="G57" s="16" t="s">
        <v>44</v>
      </c>
      <c r="H57" s="17"/>
      <c r="I57" s="17"/>
    </row>
    <row r="58" customFormat="false" ht="58.2" hidden="false" customHeight="false" outlineLevel="0" collapsed="false">
      <c r="A58" s="14" t="s">
        <v>4335</v>
      </c>
      <c r="B58" s="15" t="s">
        <v>256</v>
      </c>
      <c r="C58" s="15" t="s">
        <v>243</v>
      </c>
      <c r="D58" s="15" t="s">
        <v>4336</v>
      </c>
      <c r="E58" s="15" t="s">
        <v>4337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4338</v>
      </c>
      <c r="B59" s="15" t="s">
        <v>256</v>
      </c>
      <c r="C59" s="15" t="s">
        <v>252</v>
      </c>
      <c r="D59" s="15" t="s">
        <v>4339</v>
      </c>
      <c r="E59" s="15" t="s">
        <v>4340</v>
      </c>
      <c r="F59" s="15" t="s">
        <v>4341</v>
      </c>
      <c r="G59" s="16" t="s">
        <v>44</v>
      </c>
      <c r="H59" s="17"/>
      <c r="I59" s="17"/>
    </row>
    <row r="60" customFormat="false" ht="58.2" hidden="false" customHeight="false" outlineLevel="0" collapsed="false">
      <c r="A60" s="14" t="s">
        <v>4342</v>
      </c>
      <c r="B60" s="15" t="s">
        <v>256</v>
      </c>
      <c r="C60" s="15" t="s">
        <v>261</v>
      </c>
      <c r="D60" s="15" t="s">
        <v>4343</v>
      </c>
      <c r="E60" s="15" t="s">
        <v>4344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4345</v>
      </c>
      <c r="B61" s="15" t="s">
        <v>256</v>
      </c>
      <c r="C61" s="15" t="s">
        <v>270</v>
      </c>
      <c r="D61" s="15" t="s">
        <v>4346</v>
      </c>
      <c r="E61" s="15" t="s">
        <v>4347</v>
      </c>
      <c r="F61" s="15"/>
      <c r="G61" s="16" t="s">
        <v>44</v>
      </c>
      <c r="H61" s="17"/>
      <c r="I61" s="17"/>
    </row>
  </sheetData>
  <autoFilter ref="A1:I61"/>
  <dataValidations count="1">
    <dataValidation allowBlank="false" errorStyle="stop" operator="between" showDropDown="false" showErrorMessage="false" showInputMessage="false" sqref="G2:G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148</v>
      </c>
      <c r="B1" s="13" t="s">
        <v>1489</v>
      </c>
      <c r="C1" s="13" t="s">
        <v>149</v>
      </c>
      <c r="D1" s="13" t="s">
        <v>4348</v>
      </c>
      <c r="E1" s="13" t="s">
        <v>4349</v>
      </c>
      <c r="F1" s="13" t="s">
        <v>4350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44" hidden="false" customHeight="false" outlineLevel="0" collapsed="false">
      <c r="A2" s="14" t="s">
        <v>4351</v>
      </c>
      <c r="B2" s="15" t="s">
        <v>1042</v>
      </c>
      <c r="C2" s="15" t="s">
        <v>164</v>
      </c>
      <c r="D2" s="15" t="s">
        <v>4352</v>
      </c>
      <c r="E2" s="15" t="s">
        <v>4353</v>
      </c>
      <c r="F2" s="14" t="s">
        <v>1994</v>
      </c>
      <c r="G2" s="14" t="s">
        <v>4354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4355</v>
      </c>
      <c r="B3" s="15" t="s">
        <v>1042</v>
      </c>
      <c r="C3" s="15" t="s">
        <v>176</v>
      </c>
      <c r="D3" s="15" t="s">
        <v>4356</v>
      </c>
      <c r="E3" s="15" t="s">
        <v>4357</v>
      </c>
      <c r="F3" s="14" t="s">
        <v>1967</v>
      </c>
      <c r="G3" s="14" t="s">
        <v>4358</v>
      </c>
      <c r="H3" s="16" t="s">
        <v>44</v>
      </c>
      <c r="I3" s="17"/>
      <c r="J3" s="17"/>
    </row>
    <row r="4" customFormat="false" ht="44" hidden="false" customHeight="false" outlineLevel="0" collapsed="false">
      <c r="A4" s="14" t="s">
        <v>4359</v>
      </c>
      <c r="B4" s="15" t="s">
        <v>1042</v>
      </c>
      <c r="C4" s="15" t="s">
        <v>187</v>
      </c>
      <c r="D4" s="15" t="s">
        <v>4360</v>
      </c>
      <c r="E4" s="15" t="s">
        <v>4361</v>
      </c>
      <c r="F4" s="14" t="s">
        <v>1967</v>
      </c>
      <c r="G4" s="14" t="s">
        <v>4362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4363</v>
      </c>
      <c r="B5" s="15" t="s">
        <v>1042</v>
      </c>
      <c r="C5" s="15" t="s">
        <v>198</v>
      </c>
      <c r="D5" s="15" t="s">
        <v>4364</v>
      </c>
      <c r="E5" s="15" t="s">
        <v>4365</v>
      </c>
      <c r="F5" s="14" t="s">
        <v>1967</v>
      </c>
      <c r="G5" s="14" t="s">
        <v>4366</v>
      </c>
      <c r="H5" s="16" t="s">
        <v>44</v>
      </c>
      <c r="I5" s="17"/>
      <c r="J5" s="17"/>
    </row>
    <row r="6" customFormat="false" ht="44" hidden="false" customHeight="false" outlineLevel="0" collapsed="false">
      <c r="A6" s="14" t="s">
        <v>4367</v>
      </c>
      <c r="B6" s="15" t="s">
        <v>1042</v>
      </c>
      <c r="C6" s="15" t="s">
        <v>208</v>
      </c>
      <c r="D6" s="15" t="s">
        <v>4368</v>
      </c>
      <c r="E6" s="15" t="s">
        <v>4369</v>
      </c>
      <c r="F6" s="14" t="s">
        <v>1994</v>
      </c>
      <c r="G6" s="14" t="s">
        <v>4370</v>
      </c>
      <c r="H6" s="16" t="s">
        <v>44</v>
      </c>
      <c r="I6" s="17"/>
      <c r="J6" s="17"/>
    </row>
    <row r="7" customFormat="false" ht="44" hidden="false" customHeight="false" outlineLevel="0" collapsed="false">
      <c r="A7" s="14" t="s">
        <v>4371</v>
      </c>
      <c r="B7" s="15" t="s">
        <v>1042</v>
      </c>
      <c r="C7" s="15" t="s">
        <v>217</v>
      </c>
      <c r="D7" s="15" t="s">
        <v>4372</v>
      </c>
      <c r="E7" s="15" t="s">
        <v>4373</v>
      </c>
      <c r="F7" s="14" t="s">
        <v>1994</v>
      </c>
      <c r="G7" s="14" t="s">
        <v>4374</v>
      </c>
      <c r="H7" s="16" t="s">
        <v>44</v>
      </c>
      <c r="I7" s="17"/>
      <c r="J7" s="17"/>
    </row>
    <row r="8" customFormat="false" ht="44" hidden="false" customHeight="false" outlineLevel="0" collapsed="false">
      <c r="A8" s="14" t="s">
        <v>4375</v>
      </c>
      <c r="B8" s="15" t="s">
        <v>1042</v>
      </c>
      <c r="C8" s="15" t="s">
        <v>225</v>
      </c>
      <c r="D8" s="15" t="s">
        <v>4376</v>
      </c>
      <c r="E8" s="15" t="s">
        <v>4377</v>
      </c>
      <c r="F8" s="14" t="s">
        <v>1994</v>
      </c>
      <c r="G8" s="14" t="s">
        <v>4378</v>
      </c>
      <c r="H8" s="16" t="s">
        <v>44</v>
      </c>
      <c r="I8" s="17"/>
      <c r="J8" s="17"/>
    </row>
    <row r="9" customFormat="false" ht="44" hidden="false" customHeight="false" outlineLevel="0" collapsed="false">
      <c r="A9" s="14" t="s">
        <v>4379</v>
      </c>
      <c r="B9" s="15" t="s">
        <v>1042</v>
      </c>
      <c r="C9" s="15" t="s">
        <v>233</v>
      </c>
      <c r="D9" s="15" t="s">
        <v>4380</v>
      </c>
      <c r="E9" s="15" t="s">
        <v>4381</v>
      </c>
      <c r="F9" s="14" t="s">
        <v>1994</v>
      </c>
      <c r="G9" s="14" t="s">
        <v>4382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4383</v>
      </c>
      <c r="B10" s="15" t="s">
        <v>1042</v>
      </c>
      <c r="C10" s="15" t="s">
        <v>243</v>
      </c>
      <c r="D10" s="15" t="s">
        <v>4384</v>
      </c>
      <c r="E10" s="15" t="s">
        <v>4385</v>
      </c>
      <c r="F10" s="14" t="s">
        <v>1994</v>
      </c>
      <c r="G10" s="14" t="s">
        <v>4386</v>
      </c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4387</v>
      </c>
      <c r="B11" s="15" t="s">
        <v>1042</v>
      </c>
      <c r="C11" s="15" t="s">
        <v>252</v>
      </c>
      <c r="D11" s="15" t="s">
        <v>4388</v>
      </c>
      <c r="E11" s="15" t="s">
        <v>4389</v>
      </c>
      <c r="F11" s="14" t="s">
        <v>1994</v>
      </c>
      <c r="G11" s="14" t="s">
        <v>4390</v>
      </c>
      <c r="H11" s="16" t="s">
        <v>44</v>
      </c>
      <c r="I11" s="17"/>
      <c r="J11" s="17"/>
    </row>
    <row r="12" customFormat="false" ht="58.2" hidden="false" customHeight="false" outlineLevel="0" collapsed="false">
      <c r="A12" s="14" t="s">
        <v>4391</v>
      </c>
      <c r="B12" s="15" t="s">
        <v>1042</v>
      </c>
      <c r="C12" s="15" t="s">
        <v>261</v>
      </c>
      <c r="D12" s="15" t="s">
        <v>4392</v>
      </c>
      <c r="E12" s="15" t="s">
        <v>4393</v>
      </c>
      <c r="F12" s="14" t="s">
        <v>1994</v>
      </c>
      <c r="G12" s="14" t="s">
        <v>4394</v>
      </c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4395</v>
      </c>
      <c r="B13" s="15" t="s">
        <v>1042</v>
      </c>
      <c r="C13" s="15" t="s">
        <v>270</v>
      </c>
      <c r="D13" s="15" t="s">
        <v>4396</v>
      </c>
      <c r="E13" s="15" t="s">
        <v>4397</v>
      </c>
      <c r="F13" s="14" t="s">
        <v>1994</v>
      </c>
      <c r="G13" s="14" t="s">
        <v>4398</v>
      </c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4399</v>
      </c>
      <c r="B14" s="15" t="s">
        <v>1192</v>
      </c>
      <c r="C14" s="15" t="s">
        <v>164</v>
      </c>
      <c r="D14" s="15" t="s">
        <v>4400</v>
      </c>
      <c r="E14" s="15" t="s">
        <v>4401</v>
      </c>
      <c r="F14" s="14" t="s">
        <v>1967</v>
      </c>
      <c r="G14" s="14" t="s">
        <v>4402</v>
      </c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4403</v>
      </c>
      <c r="B15" s="15" t="s">
        <v>1192</v>
      </c>
      <c r="C15" s="15" t="s">
        <v>176</v>
      </c>
      <c r="D15" s="15" t="s">
        <v>4404</v>
      </c>
      <c r="E15" s="15" t="s">
        <v>4405</v>
      </c>
      <c r="F15" s="14" t="s">
        <v>1967</v>
      </c>
      <c r="G15" s="14" t="s">
        <v>4406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4407</v>
      </c>
      <c r="B16" s="15" t="s">
        <v>1192</v>
      </c>
      <c r="C16" s="15" t="s">
        <v>187</v>
      </c>
      <c r="D16" s="15" t="s">
        <v>4408</v>
      </c>
      <c r="E16" s="15" t="s">
        <v>4409</v>
      </c>
      <c r="F16" s="14" t="s">
        <v>1967</v>
      </c>
      <c r="G16" s="14" t="s">
        <v>4410</v>
      </c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4411</v>
      </c>
      <c r="B17" s="15" t="s">
        <v>1192</v>
      </c>
      <c r="C17" s="15" t="s">
        <v>198</v>
      </c>
      <c r="D17" s="15" t="s">
        <v>4412</v>
      </c>
      <c r="E17" s="15" t="s">
        <v>4413</v>
      </c>
      <c r="F17" s="14" t="s">
        <v>1967</v>
      </c>
      <c r="G17" s="14" t="s">
        <v>4414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4415</v>
      </c>
      <c r="B18" s="15" t="s">
        <v>1192</v>
      </c>
      <c r="C18" s="15" t="s">
        <v>208</v>
      </c>
      <c r="D18" s="15" t="s">
        <v>4416</v>
      </c>
      <c r="E18" s="15" t="s">
        <v>4417</v>
      </c>
      <c r="F18" s="14" t="s">
        <v>1967</v>
      </c>
      <c r="G18" s="14" t="s">
        <v>4418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4419</v>
      </c>
      <c r="B19" s="15" t="s">
        <v>1192</v>
      </c>
      <c r="C19" s="15" t="s">
        <v>217</v>
      </c>
      <c r="D19" s="15" t="s">
        <v>4420</v>
      </c>
      <c r="E19" s="15" t="s">
        <v>4421</v>
      </c>
      <c r="F19" s="14" t="s">
        <v>1967</v>
      </c>
      <c r="G19" s="14" t="s">
        <v>4422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4423</v>
      </c>
      <c r="B20" s="15" t="s">
        <v>1192</v>
      </c>
      <c r="C20" s="15" t="s">
        <v>225</v>
      </c>
      <c r="D20" s="15" t="s">
        <v>4424</v>
      </c>
      <c r="E20" s="15" t="s">
        <v>4425</v>
      </c>
      <c r="F20" s="14" t="s">
        <v>1967</v>
      </c>
      <c r="G20" s="14" t="s">
        <v>4426</v>
      </c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4427</v>
      </c>
      <c r="B21" s="15" t="s">
        <v>1192</v>
      </c>
      <c r="C21" s="15" t="s">
        <v>233</v>
      </c>
      <c r="D21" s="15" t="s">
        <v>4428</v>
      </c>
      <c r="E21" s="15" t="s">
        <v>4429</v>
      </c>
      <c r="F21" s="14" t="s">
        <v>1994</v>
      </c>
      <c r="G21" s="14" t="s">
        <v>4430</v>
      </c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4431</v>
      </c>
      <c r="B22" s="15" t="s">
        <v>1192</v>
      </c>
      <c r="C22" s="15" t="s">
        <v>243</v>
      </c>
      <c r="D22" s="15" t="s">
        <v>4432</v>
      </c>
      <c r="E22" s="15" t="s">
        <v>4433</v>
      </c>
      <c r="F22" s="14" t="s">
        <v>1994</v>
      </c>
      <c r="G22" s="14" t="s">
        <v>4434</v>
      </c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4435</v>
      </c>
      <c r="B23" s="15" t="s">
        <v>1192</v>
      </c>
      <c r="C23" s="15" t="s">
        <v>252</v>
      </c>
      <c r="D23" s="15" t="s">
        <v>4436</v>
      </c>
      <c r="E23" s="15" t="s">
        <v>4437</v>
      </c>
      <c r="F23" s="14" t="s">
        <v>1994</v>
      </c>
      <c r="G23" s="14" t="s">
        <v>4438</v>
      </c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4439</v>
      </c>
      <c r="B24" s="15" t="s">
        <v>1192</v>
      </c>
      <c r="C24" s="15" t="s">
        <v>261</v>
      </c>
      <c r="D24" s="15" t="s">
        <v>4440</v>
      </c>
      <c r="E24" s="15" t="s">
        <v>4441</v>
      </c>
      <c r="F24" s="14" t="s">
        <v>1994</v>
      </c>
      <c r="G24" s="14" t="s">
        <v>4442</v>
      </c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4443</v>
      </c>
      <c r="B25" s="15" t="s">
        <v>1192</v>
      </c>
      <c r="C25" s="15" t="s">
        <v>270</v>
      </c>
      <c r="D25" s="15" t="s">
        <v>4444</v>
      </c>
      <c r="E25" s="15" t="s">
        <v>4445</v>
      </c>
      <c r="F25" s="14" t="s">
        <v>1967</v>
      </c>
      <c r="G25" s="14" t="s">
        <v>4446</v>
      </c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4447</v>
      </c>
      <c r="B26" s="15" t="s">
        <v>1342</v>
      </c>
      <c r="C26" s="15" t="s">
        <v>164</v>
      </c>
      <c r="D26" s="15" t="s">
        <v>4448</v>
      </c>
      <c r="E26" s="15" t="s">
        <v>4449</v>
      </c>
      <c r="F26" s="14" t="s">
        <v>1967</v>
      </c>
      <c r="G26" s="14" t="s">
        <v>4450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4451</v>
      </c>
      <c r="B27" s="15" t="s">
        <v>1342</v>
      </c>
      <c r="C27" s="15" t="s">
        <v>176</v>
      </c>
      <c r="D27" s="15" t="s">
        <v>4452</v>
      </c>
      <c r="E27" s="15" t="s">
        <v>4453</v>
      </c>
      <c r="F27" s="14" t="s">
        <v>1967</v>
      </c>
      <c r="G27" s="14" t="s">
        <v>4454</v>
      </c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4455</v>
      </c>
      <c r="B28" s="15" t="s">
        <v>1342</v>
      </c>
      <c r="C28" s="15" t="s">
        <v>187</v>
      </c>
      <c r="D28" s="15" t="s">
        <v>4456</v>
      </c>
      <c r="E28" s="15" t="s">
        <v>4457</v>
      </c>
      <c r="F28" s="14" t="s">
        <v>1967</v>
      </c>
      <c r="G28" s="14" t="s">
        <v>4458</v>
      </c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4459</v>
      </c>
      <c r="B29" s="15" t="s">
        <v>1342</v>
      </c>
      <c r="C29" s="15" t="s">
        <v>198</v>
      </c>
      <c r="D29" s="15" t="s">
        <v>4460</v>
      </c>
      <c r="E29" s="15" t="s">
        <v>4461</v>
      </c>
      <c r="F29" s="14" t="s">
        <v>1967</v>
      </c>
      <c r="G29" s="14" t="s">
        <v>4462</v>
      </c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4463</v>
      </c>
      <c r="B30" s="15" t="s">
        <v>1342</v>
      </c>
      <c r="C30" s="15" t="s">
        <v>208</v>
      </c>
      <c r="D30" s="15" t="s">
        <v>4464</v>
      </c>
      <c r="E30" s="15" t="s">
        <v>4465</v>
      </c>
      <c r="F30" s="14" t="s">
        <v>1967</v>
      </c>
      <c r="G30" s="14" t="s">
        <v>4466</v>
      </c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4467</v>
      </c>
      <c r="B31" s="15" t="s">
        <v>1342</v>
      </c>
      <c r="C31" s="15" t="s">
        <v>217</v>
      </c>
      <c r="D31" s="15" t="s">
        <v>4468</v>
      </c>
      <c r="E31" s="15" t="s">
        <v>4469</v>
      </c>
      <c r="F31" s="14" t="s">
        <v>1994</v>
      </c>
      <c r="G31" s="14" t="s">
        <v>4470</v>
      </c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4471</v>
      </c>
      <c r="B32" s="15" t="s">
        <v>1342</v>
      </c>
      <c r="C32" s="15" t="s">
        <v>225</v>
      </c>
      <c r="D32" s="15" t="s">
        <v>4472</v>
      </c>
      <c r="E32" s="15" t="s">
        <v>4473</v>
      </c>
      <c r="F32" s="14" t="s">
        <v>1994</v>
      </c>
      <c r="G32" s="14" t="s">
        <v>4474</v>
      </c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4475</v>
      </c>
      <c r="B33" s="15" t="s">
        <v>1342</v>
      </c>
      <c r="C33" s="15" t="s">
        <v>233</v>
      </c>
      <c r="D33" s="15" t="s">
        <v>4476</v>
      </c>
      <c r="E33" s="15" t="s">
        <v>4477</v>
      </c>
      <c r="F33" s="14" t="s">
        <v>1994</v>
      </c>
      <c r="G33" s="14" t="s">
        <v>4478</v>
      </c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4479</v>
      </c>
      <c r="B34" s="15" t="s">
        <v>1342</v>
      </c>
      <c r="C34" s="15" t="s">
        <v>243</v>
      </c>
      <c r="D34" s="15" t="s">
        <v>4480</v>
      </c>
      <c r="E34" s="15" t="s">
        <v>4481</v>
      </c>
      <c r="F34" s="14" t="s">
        <v>1994</v>
      </c>
      <c r="G34" s="14" t="s">
        <v>4482</v>
      </c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4483</v>
      </c>
      <c r="B35" s="15" t="s">
        <v>1342</v>
      </c>
      <c r="C35" s="15" t="s">
        <v>252</v>
      </c>
      <c r="D35" s="15" t="s">
        <v>4484</v>
      </c>
      <c r="E35" s="15" t="s">
        <v>4485</v>
      </c>
      <c r="F35" s="14" t="s">
        <v>1994</v>
      </c>
      <c r="G35" s="14" t="s">
        <v>4486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4487</v>
      </c>
      <c r="B36" s="15" t="s">
        <v>1342</v>
      </c>
      <c r="C36" s="15" t="s">
        <v>261</v>
      </c>
      <c r="D36" s="15" t="s">
        <v>4488</v>
      </c>
      <c r="E36" s="15" t="s">
        <v>4489</v>
      </c>
      <c r="F36" s="14" t="s">
        <v>1967</v>
      </c>
      <c r="G36" s="14" t="s">
        <v>4490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4491</v>
      </c>
      <c r="B37" s="15" t="s">
        <v>1342</v>
      </c>
      <c r="C37" s="15" t="s">
        <v>270</v>
      </c>
      <c r="D37" s="15" t="s">
        <v>4492</v>
      </c>
      <c r="E37" s="15" t="s">
        <v>4493</v>
      </c>
      <c r="F37" s="14" t="s">
        <v>1967</v>
      </c>
      <c r="G37" s="14" t="s">
        <v>4494</v>
      </c>
      <c r="H37" s="16" t="s">
        <v>44</v>
      </c>
      <c r="I37" s="17"/>
      <c r="J37" s="17"/>
    </row>
  </sheetData>
  <autoFilter ref="A1:J37"/>
  <dataValidations count="1">
    <dataValidation allowBlank="false" errorStyle="stop" operator="between" showDropDown="false" showErrorMessage="false" showInputMessage="false" sqref="H2:H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5.39"/>
    <col collapsed="false" customWidth="true" hidden="false" outlineLevel="0" max="5" min="5" style="0" width="42.9"/>
    <col collapsed="false" customWidth="true" hidden="false" outlineLevel="0" max="6" min="6" style="0" width="55"/>
    <col collapsed="false" customWidth="true" hidden="false" outlineLevel="0" max="7" min="7" style="0" width="49.51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148</v>
      </c>
      <c r="B1" s="13" t="s">
        <v>1489</v>
      </c>
      <c r="C1" s="13" t="s">
        <v>1490</v>
      </c>
      <c r="D1" s="13" t="s">
        <v>1491</v>
      </c>
      <c r="E1" s="13" t="s">
        <v>4348</v>
      </c>
      <c r="F1" s="13" t="s">
        <v>4495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44" hidden="false" customHeight="false" outlineLevel="0" collapsed="false">
      <c r="A2" s="14" t="s">
        <v>4496</v>
      </c>
      <c r="B2" s="15" t="s">
        <v>212</v>
      </c>
      <c r="C2" s="14" t="s">
        <v>1498</v>
      </c>
      <c r="D2" s="14" t="s">
        <v>1499</v>
      </c>
      <c r="E2" s="15" t="s">
        <v>4497</v>
      </c>
      <c r="F2" s="15" t="s">
        <v>4498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4499</v>
      </c>
      <c r="B3" s="15" t="s">
        <v>212</v>
      </c>
      <c r="C3" s="14" t="s">
        <v>1507</v>
      </c>
      <c r="D3" s="14" t="s">
        <v>4500</v>
      </c>
      <c r="E3" s="15" t="s">
        <v>4501</v>
      </c>
      <c r="F3" s="15" t="s">
        <v>4502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4503</v>
      </c>
      <c r="B4" s="15" t="s">
        <v>212</v>
      </c>
      <c r="C4" s="14" t="s">
        <v>1517</v>
      </c>
      <c r="D4" s="14" t="s">
        <v>4504</v>
      </c>
      <c r="E4" s="15" t="s">
        <v>4505</v>
      </c>
      <c r="F4" s="15" t="s">
        <v>4506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4507</v>
      </c>
      <c r="B5" s="15" t="s">
        <v>212</v>
      </c>
      <c r="C5" s="14" t="s">
        <v>1526</v>
      </c>
      <c r="D5" s="14" t="s">
        <v>4508</v>
      </c>
      <c r="E5" s="15" t="s">
        <v>4509</v>
      </c>
      <c r="F5" s="15" t="s">
        <v>4510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4511</v>
      </c>
      <c r="B6" s="15" t="s">
        <v>212</v>
      </c>
      <c r="C6" s="14" t="s">
        <v>1535</v>
      </c>
      <c r="D6" s="14" t="s">
        <v>4512</v>
      </c>
      <c r="E6" s="15" t="s">
        <v>4513</v>
      </c>
      <c r="F6" s="15" t="s">
        <v>4514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4515</v>
      </c>
      <c r="B7" s="15" t="s">
        <v>212</v>
      </c>
      <c r="C7" s="14" t="s">
        <v>1545</v>
      </c>
      <c r="D7" s="14" t="s">
        <v>4516</v>
      </c>
      <c r="E7" s="15" t="s">
        <v>4517</v>
      </c>
      <c r="F7" s="15" t="s">
        <v>4518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4519</v>
      </c>
      <c r="B8" s="15" t="s">
        <v>212</v>
      </c>
      <c r="C8" s="14" t="s">
        <v>1554</v>
      </c>
      <c r="D8" s="14" t="s">
        <v>1555</v>
      </c>
      <c r="E8" s="15" t="s">
        <v>4520</v>
      </c>
      <c r="F8" s="15" t="s">
        <v>4521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4522</v>
      </c>
      <c r="B9" s="15" t="s">
        <v>212</v>
      </c>
      <c r="C9" s="14" t="s">
        <v>1564</v>
      </c>
      <c r="D9" s="14" t="s">
        <v>4523</v>
      </c>
      <c r="E9" s="15" t="s">
        <v>4524</v>
      </c>
      <c r="F9" s="15" t="s">
        <v>4525</v>
      </c>
      <c r="G9" s="15" t="s">
        <v>4526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4527</v>
      </c>
      <c r="B10" s="15" t="s">
        <v>212</v>
      </c>
      <c r="C10" s="14" t="s">
        <v>1574</v>
      </c>
      <c r="D10" s="14" t="s">
        <v>4528</v>
      </c>
      <c r="E10" s="15" t="s">
        <v>4529</v>
      </c>
      <c r="F10" s="15" t="s">
        <v>4530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4531</v>
      </c>
      <c r="B11" s="15" t="s">
        <v>212</v>
      </c>
      <c r="C11" s="14" t="s">
        <v>1583</v>
      </c>
      <c r="D11" s="14" t="s">
        <v>4532</v>
      </c>
      <c r="E11" s="15" t="s">
        <v>4533</v>
      </c>
      <c r="F11" s="15" t="s">
        <v>4534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4535</v>
      </c>
      <c r="B12" s="15" t="s">
        <v>212</v>
      </c>
      <c r="C12" s="14" t="s">
        <v>1592</v>
      </c>
      <c r="D12" s="14" t="s">
        <v>4536</v>
      </c>
      <c r="E12" s="15" t="s">
        <v>4537</v>
      </c>
      <c r="F12" s="15" t="s">
        <v>4538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4539</v>
      </c>
      <c r="B13" s="15" t="s">
        <v>212</v>
      </c>
      <c r="C13" s="14" t="s">
        <v>1601</v>
      </c>
      <c r="D13" s="14" t="s">
        <v>4540</v>
      </c>
      <c r="E13" s="15" t="s">
        <v>4541</v>
      </c>
      <c r="F13" s="15" t="s">
        <v>4542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4543</v>
      </c>
      <c r="B14" s="15" t="s">
        <v>203</v>
      </c>
      <c r="C14" s="14" t="s">
        <v>1498</v>
      </c>
      <c r="D14" s="14" t="s">
        <v>1499</v>
      </c>
      <c r="E14" s="15" t="s">
        <v>4544</v>
      </c>
      <c r="F14" s="15" t="s">
        <v>4545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4546</v>
      </c>
      <c r="B15" s="15" t="s">
        <v>203</v>
      </c>
      <c r="C15" s="14" t="s">
        <v>1507</v>
      </c>
      <c r="D15" s="14" t="s">
        <v>4500</v>
      </c>
      <c r="E15" s="15" t="s">
        <v>4547</v>
      </c>
      <c r="F15" s="15" t="s">
        <v>4548</v>
      </c>
      <c r="G15" s="15" t="s">
        <v>4549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4550</v>
      </c>
      <c r="B16" s="15" t="s">
        <v>203</v>
      </c>
      <c r="C16" s="14" t="s">
        <v>1517</v>
      </c>
      <c r="D16" s="14" t="s">
        <v>4504</v>
      </c>
      <c r="E16" s="15" t="s">
        <v>4551</v>
      </c>
      <c r="F16" s="15" t="s">
        <v>4552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4553</v>
      </c>
      <c r="B17" s="15" t="s">
        <v>203</v>
      </c>
      <c r="C17" s="14" t="s">
        <v>1526</v>
      </c>
      <c r="D17" s="14" t="s">
        <v>4508</v>
      </c>
      <c r="E17" s="15" t="s">
        <v>4554</v>
      </c>
      <c r="F17" s="15" t="s">
        <v>4555</v>
      </c>
      <c r="G17" s="15"/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4556</v>
      </c>
      <c r="B18" s="15" t="s">
        <v>203</v>
      </c>
      <c r="C18" s="14" t="s">
        <v>1535</v>
      </c>
      <c r="D18" s="14" t="s">
        <v>4512</v>
      </c>
      <c r="E18" s="15" t="s">
        <v>4557</v>
      </c>
      <c r="F18" s="15" t="s">
        <v>4558</v>
      </c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4559</v>
      </c>
      <c r="B19" s="15" t="s">
        <v>203</v>
      </c>
      <c r="C19" s="14" t="s">
        <v>1545</v>
      </c>
      <c r="D19" s="14" t="s">
        <v>4516</v>
      </c>
      <c r="E19" s="15" t="s">
        <v>4560</v>
      </c>
      <c r="F19" s="15" t="s">
        <v>4561</v>
      </c>
      <c r="G19" s="15"/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4562</v>
      </c>
      <c r="B20" s="15" t="s">
        <v>203</v>
      </c>
      <c r="C20" s="14" t="s">
        <v>1554</v>
      </c>
      <c r="D20" s="14" t="s">
        <v>1555</v>
      </c>
      <c r="E20" s="15" t="s">
        <v>4563</v>
      </c>
      <c r="F20" s="15" t="s">
        <v>4564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4565</v>
      </c>
      <c r="B21" s="15" t="s">
        <v>203</v>
      </c>
      <c r="C21" s="14" t="s">
        <v>1564</v>
      </c>
      <c r="D21" s="14" t="s">
        <v>4523</v>
      </c>
      <c r="E21" s="15" t="s">
        <v>4566</v>
      </c>
      <c r="F21" s="15" t="s">
        <v>4567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4568</v>
      </c>
      <c r="B22" s="15" t="s">
        <v>203</v>
      </c>
      <c r="C22" s="14" t="s">
        <v>1574</v>
      </c>
      <c r="D22" s="14" t="s">
        <v>4528</v>
      </c>
      <c r="E22" s="15" t="s">
        <v>4569</v>
      </c>
      <c r="F22" s="15" t="s">
        <v>4570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4571</v>
      </c>
      <c r="B23" s="15" t="s">
        <v>203</v>
      </c>
      <c r="C23" s="14" t="s">
        <v>1583</v>
      </c>
      <c r="D23" s="14" t="s">
        <v>4532</v>
      </c>
      <c r="E23" s="15" t="s">
        <v>4572</v>
      </c>
      <c r="F23" s="15" t="s">
        <v>4573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4574</v>
      </c>
      <c r="B24" s="15" t="s">
        <v>203</v>
      </c>
      <c r="C24" s="14" t="s">
        <v>1592</v>
      </c>
      <c r="D24" s="14" t="s">
        <v>4536</v>
      </c>
      <c r="E24" s="15" t="s">
        <v>4575</v>
      </c>
      <c r="F24" s="15" t="s">
        <v>4576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4577</v>
      </c>
      <c r="B25" s="15" t="s">
        <v>203</v>
      </c>
      <c r="C25" s="14" t="s">
        <v>1601</v>
      </c>
      <c r="D25" s="14" t="s">
        <v>4540</v>
      </c>
      <c r="E25" s="15" t="s">
        <v>4578</v>
      </c>
      <c r="F25" s="15" t="s">
        <v>4579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4580</v>
      </c>
      <c r="B26" s="15" t="s">
        <v>193</v>
      </c>
      <c r="C26" s="14" t="s">
        <v>1498</v>
      </c>
      <c r="D26" s="14" t="s">
        <v>1499</v>
      </c>
      <c r="E26" s="15" t="s">
        <v>4581</v>
      </c>
      <c r="F26" s="15" t="s">
        <v>4582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4583</v>
      </c>
      <c r="B27" s="15" t="s">
        <v>193</v>
      </c>
      <c r="C27" s="14" t="s">
        <v>1507</v>
      </c>
      <c r="D27" s="14" t="s">
        <v>4500</v>
      </c>
      <c r="E27" s="15" t="s">
        <v>4584</v>
      </c>
      <c r="F27" s="15" t="s">
        <v>4585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4586</v>
      </c>
      <c r="B28" s="15" t="s">
        <v>193</v>
      </c>
      <c r="C28" s="14" t="s">
        <v>1517</v>
      </c>
      <c r="D28" s="14" t="s">
        <v>4504</v>
      </c>
      <c r="E28" s="15" t="s">
        <v>4587</v>
      </c>
      <c r="F28" s="15" t="s">
        <v>4588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4589</v>
      </c>
      <c r="B29" s="15" t="s">
        <v>193</v>
      </c>
      <c r="C29" s="14" t="s">
        <v>1526</v>
      </c>
      <c r="D29" s="14" t="s">
        <v>4508</v>
      </c>
      <c r="E29" s="15" t="s">
        <v>4590</v>
      </c>
      <c r="F29" s="15" t="s">
        <v>4591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4592</v>
      </c>
      <c r="B30" s="15" t="s">
        <v>193</v>
      </c>
      <c r="C30" s="14" t="s">
        <v>1535</v>
      </c>
      <c r="D30" s="14" t="s">
        <v>4512</v>
      </c>
      <c r="E30" s="15" t="s">
        <v>4593</v>
      </c>
      <c r="F30" s="15" t="s">
        <v>4594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4595</v>
      </c>
      <c r="B31" s="15" t="s">
        <v>193</v>
      </c>
      <c r="C31" s="14" t="s">
        <v>1545</v>
      </c>
      <c r="D31" s="14" t="s">
        <v>4516</v>
      </c>
      <c r="E31" s="15" t="s">
        <v>4596</v>
      </c>
      <c r="F31" s="15" t="s">
        <v>4597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4598</v>
      </c>
      <c r="B32" s="15" t="s">
        <v>193</v>
      </c>
      <c r="C32" s="14" t="s">
        <v>1554</v>
      </c>
      <c r="D32" s="14" t="s">
        <v>1555</v>
      </c>
      <c r="E32" s="15" t="s">
        <v>4599</v>
      </c>
      <c r="F32" s="15" t="s">
        <v>4600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4601</v>
      </c>
      <c r="B33" s="15" t="s">
        <v>193</v>
      </c>
      <c r="C33" s="14" t="s">
        <v>1564</v>
      </c>
      <c r="D33" s="14" t="s">
        <v>4523</v>
      </c>
      <c r="E33" s="15" t="s">
        <v>4602</v>
      </c>
      <c r="F33" s="15" t="s">
        <v>4603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4604</v>
      </c>
      <c r="B34" s="15" t="s">
        <v>193</v>
      </c>
      <c r="C34" s="14" t="s">
        <v>1574</v>
      </c>
      <c r="D34" s="14" t="s">
        <v>4528</v>
      </c>
      <c r="E34" s="15" t="s">
        <v>4605</v>
      </c>
      <c r="F34" s="15" t="s">
        <v>4606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4607</v>
      </c>
      <c r="B35" s="15" t="s">
        <v>193</v>
      </c>
      <c r="C35" s="14" t="s">
        <v>1583</v>
      </c>
      <c r="D35" s="14" t="s">
        <v>4532</v>
      </c>
      <c r="E35" s="15" t="s">
        <v>4608</v>
      </c>
      <c r="F35" s="15" t="s">
        <v>4609</v>
      </c>
      <c r="G35" s="15"/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4610</v>
      </c>
      <c r="B36" s="15" t="s">
        <v>193</v>
      </c>
      <c r="C36" s="14" t="s">
        <v>1592</v>
      </c>
      <c r="D36" s="14" t="s">
        <v>4536</v>
      </c>
      <c r="E36" s="15" t="s">
        <v>4611</v>
      </c>
      <c r="F36" s="15" t="s">
        <v>4612</v>
      </c>
      <c r="G36" s="15"/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4613</v>
      </c>
      <c r="B37" s="15" t="s">
        <v>193</v>
      </c>
      <c r="C37" s="14" t="s">
        <v>1601</v>
      </c>
      <c r="D37" s="14" t="s">
        <v>4540</v>
      </c>
      <c r="E37" s="15" t="s">
        <v>4614</v>
      </c>
      <c r="F37" s="15" t="s">
        <v>4615</v>
      </c>
      <c r="G37" s="15"/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4616</v>
      </c>
      <c r="B38" s="15" t="s">
        <v>182</v>
      </c>
      <c r="C38" s="14" t="s">
        <v>1498</v>
      </c>
      <c r="D38" s="14" t="s">
        <v>1499</v>
      </c>
      <c r="E38" s="15" t="s">
        <v>4617</v>
      </c>
      <c r="F38" s="15" t="s">
        <v>4618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4619</v>
      </c>
      <c r="B39" s="15" t="s">
        <v>182</v>
      </c>
      <c r="C39" s="14" t="s">
        <v>1507</v>
      </c>
      <c r="D39" s="14" t="s">
        <v>4500</v>
      </c>
      <c r="E39" s="15" t="s">
        <v>4620</v>
      </c>
      <c r="F39" s="15" t="s">
        <v>4621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4622</v>
      </c>
      <c r="B40" s="15" t="s">
        <v>182</v>
      </c>
      <c r="C40" s="14" t="s">
        <v>1517</v>
      </c>
      <c r="D40" s="14" t="s">
        <v>4504</v>
      </c>
      <c r="E40" s="15" t="s">
        <v>4623</v>
      </c>
      <c r="F40" s="15" t="s">
        <v>4624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4625</v>
      </c>
      <c r="B41" s="15" t="s">
        <v>182</v>
      </c>
      <c r="C41" s="14" t="s">
        <v>1526</v>
      </c>
      <c r="D41" s="14" t="s">
        <v>4508</v>
      </c>
      <c r="E41" s="15" t="s">
        <v>4626</v>
      </c>
      <c r="F41" s="15" t="s">
        <v>4627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4628</v>
      </c>
      <c r="B42" s="15" t="s">
        <v>182</v>
      </c>
      <c r="C42" s="14" t="s">
        <v>1535</v>
      </c>
      <c r="D42" s="14" t="s">
        <v>4512</v>
      </c>
      <c r="E42" s="15" t="s">
        <v>4629</v>
      </c>
      <c r="F42" s="15" t="s">
        <v>4630</v>
      </c>
      <c r="G42" s="15" t="s">
        <v>4631</v>
      </c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4632</v>
      </c>
      <c r="B43" s="15" t="s">
        <v>182</v>
      </c>
      <c r="C43" s="14" t="s">
        <v>1545</v>
      </c>
      <c r="D43" s="14" t="s">
        <v>4516</v>
      </c>
      <c r="E43" s="15" t="s">
        <v>4633</v>
      </c>
      <c r="F43" s="15" t="s">
        <v>4634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4635</v>
      </c>
      <c r="B44" s="15" t="s">
        <v>182</v>
      </c>
      <c r="C44" s="14" t="s">
        <v>1554</v>
      </c>
      <c r="D44" s="14" t="s">
        <v>1555</v>
      </c>
      <c r="E44" s="15" t="s">
        <v>4636</v>
      </c>
      <c r="F44" s="15" t="s">
        <v>4637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4638</v>
      </c>
      <c r="B45" s="15" t="s">
        <v>182</v>
      </c>
      <c r="C45" s="14" t="s">
        <v>1564</v>
      </c>
      <c r="D45" s="14" t="s">
        <v>4523</v>
      </c>
      <c r="E45" s="15" t="s">
        <v>4639</v>
      </c>
      <c r="F45" s="15" t="s">
        <v>4640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4641</v>
      </c>
      <c r="B46" s="15" t="s">
        <v>182</v>
      </c>
      <c r="C46" s="14" t="s">
        <v>1574</v>
      </c>
      <c r="D46" s="14" t="s">
        <v>4528</v>
      </c>
      <c r="E46" s="15" t="s">
        <v>4642</v>
      </c>
      <c r="F46" s="15" t="s">
        <v>4643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4644</v>
      </c>
      <c r="B47" s="15" t="s">
        <v>182</v>
      </c>
      <c r="C47" s="14" t="s">
        <v>1583</v>
      </c>
      <c r="D47" s="14" t="s">
        <v>4532</v>
      </c>
      <c r="E47" s="15" t="s">
        <v>4645</v>
      </c>
      <c r="F47" s="15" t="s">
        <v>4646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4647</v>
      </c>
      <c r="B48" s="15" t="s">
        <v>182</v>
      </c>
      <c r="C48" s="14" t="s">
        <v>1592</v>
      </c>
      <c r="D48" s="14" t="s">
        <v>4536</v>
      </c>
      <c r="E48" s="15" t="s">
        <v>4648</v>
      </c>
      <c r="F48" s="15" t="s">
        <v>4649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4650</v>
      </c>
      <c r="B49" s="15" t="s">
        <v>182</v>
      </c>
      <c r="C49" s="14" t="s">
        <v>1601</v>
      </c>
      <c r="D49" s="14" t="s">
        <v>4540</v>
      </c>
      <c r="E49" s="15" t="s">
        <v>4651</v>
      </c>
      <c r="F49" s="15" t="s">
        <v>4652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4653</v>
      </c>
      <c r="B50" s="15" t="s">
        <v>170</v>
      </c>
      <c r="C50" s="14" t="s">
        <v>1498</v>
      </c>
      <c r="D50" s="14" t="s">
        <v>1499</v>
      </c>
      <c r="E50" s="15" t="s">
        <v>4654</v>
      </c>
      <c r="F50" s="15" t="s">
        <v>4655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4656</v>
      </c>
      <c r="B51" s="15" t="s">
        <v>170</v>
      </c>
      <c r="C51" s="14" t="s">
        <v>1507</v>
      </c>
      <c r="D51" s="14" t="s">
        <v>4500</v>
      </c>
      <c r="E51" s="15" t="s">
        <v>4657</v>
      </c>
      <c r="F51" s="15" t="s">
        <v>4658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4659</v>
      </c>
      <c r="B52" s="15" t="s">
        <v>170</v>
      </c>
      <c r="C52" s="14" t="s">
        <v>1517</v>
      </c>
      <c r="D52" s="14" t="s">
        <v>4504</v>
      </c>
      <c r="E52" s="15" t="s">
        <v>4660</v>
      </c>
      <c r="F52" s="15" t="s">
        <v>4661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4662</v>
      </c>
      <c r="B53" s="15" t="s">
        <v>170</v>
      </c>
      <c r="C53" s="14" t="s">
        <v>1526</v>
      </c>
      <c r="D53" s="14" t="s">
        <v>4508</v>
      </c>
      <c r="E53" s="15" t="s">
        <v>4663</v>
      </c>
      <c r="F53" s="15" t="s">
        <v>4664</v>
      </c>
      <c r="G53" s="15" t="s">
        <v>4665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4666</v>
      </c>
      <c r="B54" s="15" t="s">
        <v>170</v>
      </c>
      <c r="C54" s="14" t="s">
        <v>1535</v>
      </c>
      <c r="D54" s="14" t="s">
        <v>4512</v>
      </c>
      <c r="E54" s="15" t="s">
        <v>4667</v>
      </c>
      <c r="F54" s="15" t="s">
        <v>4668</v>
      </c>
      <c r="G54" s="15"/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4669</v>
      </c>
      <c r="B55" s="15" t="s">
        <v>170</v>
      </c>
      <c r="C55" s="14" t="s">
        <v>1545</v>
      </c>
      <c r="D55" s="14" t="s">
        <v>4516</v>
      </c>
      <c r="E55" s="15" t="s">
        <v>4670</v>
      </c>
      <c r="F55" s="15" t="s">
        <v>4671</v>
      </c>
      <c r="G55" s="15"/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4672</v>
      </c>
      <c r="B56" s="15" t="s">
        <v>170</v>
      </c>
      <c r="C56" s="14" t="s">
        <v>1554</v>
      </c>
      <c r="D56" s="14" t="s">
        <v>1555</v>
      </c>
      <c r="E56" s="15" t="s">
        <v>4673</v>
      </c>
      <c r="F56" s="15" t="s">
        <v>4674</v>
      </c>
      <c r="G56" s="15" t="s">
        <v>4675</v>
      </c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4676</v>
      </c>
      <c r="B57" s="15" t="s">
        <v>170</v>
      </c>
      <c r="C57" s="14" t="s">
        <v>1564</v>
      </c>
      <c r="D57" s="14" t="s">
        <v>4523</v>
      </c>
      <c r="E57" s="15" t="s">
        <v>4677</v>
      </c>
      <c r="F57" s="15" t="s">
        <v>4678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4679</v>
      </c>
      <c r="B58" s="15" t="s">
        <v>170</v>
      </c>
      <c r="C58" s="14" t="s">
        <v>1574</v>
      </c>
      <c r="D58" s="14" t="s">
        <v>4528</v>
      </c>
      <c r="E58" s="15" t="s">
        <v>4680</v>
      </c>
      <c r="F58" s="15" t="s">
        <v>4681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4682</v>
      </c>
      <c r="B59" s="15" t="s">
        <v>170</v>
      </c>
      <c r="C59" s="14" t="s">
        <v>1583</v>
      </c>
      <c r="D59" s="14" t="s">
        <v>4532</v>
      </c>
      <c r="E59" s="15" t="s">
        <v>4683</v>
      </c>
      <c r="F59" s="15" t="s">
        <v>4684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4685</v>
      </c>
      <c r="B60" s="15" t="s">
        <v>170</v>
      </c>
      <c r="C60" s="14" t="s">
        <v>1592</v>
      </c>
      <c r="D60" s="14" t="s">
        <v>4536</v>
      </c>
      <c r="E60" s="15" t="s">
        <v>4686</v>
      </c>
      <c r="F60" s="15" t="s">
        <v>4687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4688</v>
      </c>
      <c r="B61" s="15" t="s">
        <v>170</v>
      </c>
      <c r="C61" s="14" t="s">
        <v>1601</v>
      </c>
      <c r="D61" s="14" t="s">
        <v>4540</v>
      </c>
      <c r="E61" s="15" t="s">
        <v>4689</v>
      </c>
      <c r="F61" s="15" t="s">
        <v>4690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7.4"/>
    <col collapsed="false" customWidth="true" hidden="false" outlineLevel="0" max="6" min="6" style="0" width="55"/>
    <col collapsed="false" customWidth="true" hidden="false" outlineLevel="0" max="7" min="7" style="0" width="52.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148</v>
      </c>
      <c r="B1" s="13" t="s">
        <v>1489</v>
      </c>
      <c r="C1" s="13" t="s">
        <v>1490</v>
      </c>
      <c r="D1" s="13" t="s">
        <v>1491</v>
      </c>
      <c r="E1" s="13" t="s">
        <v>4348</v>
      </c>
      <c r="F1" s="13" t="s">
        <v>724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58.2" hidden="false" customHeight="false" outlineLevel="0" collapsed="false">
      <c r="A2" s="14" t="s">
        <v>4691</v>
      </c>
      <c r="B2" s="15" t="s">
        <v>247</v>
      </c>
      <c r="C2" s="14" t="s">
        <v>1498</v>
      </c>
      <c r="D2" s="14" t="s">
        <v>1499</v>
      </c>
      <c r="E2" s="15" t="s">
        <v>4692</v>
      </c>
      <c r="F2" s="15" t="s">
        <v>4693</v>
      </c>
      <c r="G2" s="15"/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4694</v>
      </c>
      <c r="B3" s="15" t="s">
        <v>247</v>
      </c>
      <c r="C3" s="14" t="s">
        <v>1507</v>
      </c>
      <c r="D3" s="14" t="s">
        <v>1508</v>
      </c>
      <c r="E3" s="15" t="s">
        <v>4695</v>
      </c>
      <c r="F3" s="15" t="s">
        <v>4696</v>
      </c>
      <c r="G3" s="15" t="s">
        <v>4697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4698</v>
      </c>
      <c r="B4" s="15" t="s">
        <v>247</v>
      </c>
      <c r="C4" s="14" t="s">
        <v>1517</v>
      </c>
      <c r="D4" s="14" t="s">
        <v>1518</v>
      </c>
      <c r="E4" s="15" t="s">
        <v>4699</v>
      </c>
      <c r="F4" s="15" t="s">
        <v>4700</v>
      </c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4701</v>
      </c>
      <c r="B5" s="15" t="s">
        <v>247</v>
      </c>
      <c r="C5" s="14" t="s">
        <v>1526</v>
      </c>
      <c r="D5" s="14" t="s">
        <v>1527</v>
      </c>
      <c r="E5" s="15" t="s">
        <v>4702</v>
      </c>
      <c r="F5" s="15" t="s">
        <v>4703</v>
      </c>
      <c r="G5" s="15"/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4704</v>
      </c>
      <c r="B6" s="15" t="s">
        <v>247</v>
      </c>
      <c r="C6" s="14" t="s">
        <v>1535</v>
      </c>
      <c r="D6" s="14" t="s">
        <v>1536</v>
      </c>
      <c r="E6" s="15" t="s">
        <v>4705</v>
      </c>
      <c r="F6" s="15" t="s">
        <v>4706</v>
      </c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4707</v>
      </c>
      <c r="B7" s="15" t="s">
        <v>247</v>
      </c>
      <c r="C7" s="14" t="s">
        <v>1545</v>
      </c>
      <c r="D7" s="14" t="s">
        <v>1546</v>
      </c>
      <c r="E7" s="15" t="s">
        <v>4708</v>
      </c>
      <c r="F7" s="15" t="s">
        <v>4709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4710</v>
      </c>
      <c r="B8" s="15" t="s">
        <v>247</v>
      </c>
      <c r="C8" s="14" t="s">
        <v>1554</v>
      </c>
      <c r="D8" s="14" t="s">
        <v>1555</v>
      </c>
      <c r="E8" s="15" t="s">
        <v>4711</v>
      </c>
      <c r="F8" s="15" t="s">
        <v>4712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4713</v>
      </c>
      <c r="B9" s="15" t="s">
        <v>247</v>
      </c>
      <c r="C9" s="14" t="s">
        <v>1564</v>
      </c>
      <c r="D9" s="14" t="s">
        <v>1565</v>
      </c>
      <c r="E9" s="15" t="s">
        <v>4714</v>
      </c>
      <c r="F9" s="15" t="s">
        <v>4715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4716</v>
      </c>
      <c r="B10" s="15" t="s">
        <v>247</v>
      </c>
      <c r="C10" s="14" t="s">
        <v>1574</v>
      </c>
      <c r="D10" s="14" t="s">
        <v>1575</v>
      </c>
      <c r="E10" s="15" t="s">
        <v>4717</v>
      </c>
      <c r="F10" s="15" t="s">
        <v>4718</v>
      </c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4719</v>
      </c>
      <c r="B11" s="15" t="s">
        <v>247</v>
      </c>
      <c r="C11" s="14" t="s">
        <v>1583</v>
      </c>
      <c r="D11" s="14" t="s">
        <v>1584</v>
      </c>
      <c r="E11" s="15" t="s">
        <v>4720</v>
      </c>
      <c r="F11" s="15" t="s">
        <v>4721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4722</v>
      </c>
      <c r="B12" s="15" t="s">
        <v>247</v>
      </c>
      <c r="C12" s="14" t="s">
        <v>1592</v>
      </c>
      <c r="D12" s="14" t="s">
        <v>1593</v>
      </c>
      <c r="E12" s="15" t="s">
        <v>4723</v>
      </c>
      <c r="F12" s="15" t="s">
        <v>4724</v>
      </c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4725</v>
      </c>
      <c r="B13" s="15" t="s">
        <v>247</v>
      </c>
      <c r="C13" s="14" t="s">
        <v>1601</v>
      </c>
      <c r="D13" s="14" t="s">
        <v>1602</v>
      </c>
      <c r="E13" s="15" t="s">
        <v>4726</v>
      </c>
      <c r="F13" s="15" t="s">
        <v>4727</v>
      </c>
      <c r="G13" s="15"/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4728</v>
      </c>
      <c r="B14" s="15" t="s">
        <v>256</v>
      </c>
      <c r="C14" s="14" t="s">
        <v>1498</v>
      </c>
      <c r="D14" s="14" t="s">
        <v>1499</v>
      </c>
      <c r="E14" s="15" t="s">
        <v>4729</v>
      </c>
      <c r="F14" s="15" t="s">
        <v>4730</v>
      </c>
      <c r="G14" s="15"/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4731</v>
      </c>
      <c r="B15" s="15" t="s">
        <v>256</v>
      </c>
      <c r="C15" s="14" t="s">
        <v>1507</v>
      </c>
      <c r="D15" s="14" t="s">
        <v>1508</v>
      </c>
      <c r="E15" s="15" t="s">
        <v>4732</v>
      </c>
      <c r="F15" s="15" t="s">
        <v>4733</v>
      </c>
      <c r="G15" s="15" t="s">
        <v>4734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4735</v>
      </c>
      <c r="B16" s="15" t="s">
        <v>256</v>
      </c>
      <c r="C16" s="14" t="s">
        <v>1517</v>
      </c>
      <c r="D16" s="14" t="s">
        <v>1518</v>
      </c>
      <c r="E16" s="15" t="s">
        <v>4736</v>
      </c>
      <c r="F16" s="15" t="s">
        <v>4737</v>
      </c>
      <c r="G16" s="15"/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4738</v>
      </c>
      <c r="B17" s="15" t="s">
        <v>256</v>
      </c>
      <c r="C17" s="14" t="s">
        <v>1526</v>
      </c>
      <c r="D17" s="14" t="s">
        <v>1527</v>
      </c>
      <c r="E17" s="15" t="s">
        <v>4739</v>
      </c>
      <c r="F17" s="15" t="s">
        <v>4740</v>
      </c>
      <c r="G17" s="14" t="s">
        <v>4741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4742</v>
      </c>
      <c r="B18" s="15" t="s">
        <v>256</v>
      </c>
      <c r="C18" s="14" t="s">
        <v>1535</v>
      </c>
      <c r="D18" s="14" t="s">
        <v>1536</v>
      </c>
      <c r="E18" s="15" t="s">
        <v>4743</v>
      </c>
      <c r="F18" s="15" t="s">
        <v>4744</v>
      </c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4745</v>
      </c>
      <c r="B19" s="15" t="s">
        <v>256</v>
      </c>
      <c r="C19" s="14" t="s">
        <v>1545</v>
      </c>
      <c r="D19" s="14" t="s">
        <v>1546</v>
      </c>
      <c r="E19" s="15" t="s">
        <v>4746</v>
      </c>
      <c r="F19" s="15" t="s">
        <v>4747</v>
      </c>
      <c r="G19" s="15"/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4748</v>
      </c>
      <c r="B20" s="15" t="s">
        <v>256</v>
      </c>
      <c r="C20" s="14" t="s">
        <v>1554</v>
      </c>
      <c r="D20" s="14" t="s">
        <v>1555</v>
      </c>
      <c r="E20" s="15" t="s">
        <v>4749</v>
      </c>
      <c r="F20" s="15" t="s">
        <v>4750</v>
      </c>
      <c r="G20" s="14" t="s">
        <v>4751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4752</v>
      </c>
      <c r="B21" s="15" t="s">
        <v>256</v>
      </c>
      <c r="C21" s="14" t="s">
        <v>1564</v>
      </c>
      <c r="D21" s="14" t="s">
        <v>1565</v>
      </c>
      <c r="E21" s="15" t="s">
        <v>4753</v>
      </c>
      <c r="F21" s="15" t="s">
        <v>4754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4755</v>
      </c>
      <c r="B22" s="15" t="s">
        <v>256</v>
      </c>
      <c r="C22" s="14" t="s">
        <v>1574</v>
      </c>
      <c r="D22" s="14" t="s">
        <v>1575</v>
      </c>
      <c r="E22" s="15" t="s">
        <v>4756</v>
      </c>
      <c r="F22" s="15" t="s">
        <v>4757</v>
      </c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4758</v>
      </c>
      <c r="B23" s="15" t="s">
        <v>256</v>
      </c>
      <c r="C23" s="14" t="s">
        <v>1583</v>
      </c>
      <c r="D23" s="14" t="s">
        <v>1584</v>
      </c>
      <c r="E23" s="15" t="s">
        <v>4759</v>
      </c>
      <c r="F23" s="15" t="s">
        <v>4760</v>
      </c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4761</v>
      </c>
      <c r="B24" s="15" t="s">
        <v>256</v>
      </c>
      <c r="C24" s="14" t="s">
        <v>1592</v>
      </c>
      <c r="D24" s="14" t="s">
        <v>1593</v>
      </c>
      <c r="E24" s="15" t="s">
        <v>4762</v>
      </c>
      <c r="F24" s="15" t="s">
        <v>4763</v>
      </c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4764</v>
      </c>
      <c r="B25" s="15" t="s">
        <v>256</v>
      </c>
      <c r="C25" s="14" t="s">
        <v>1601</v>
      </c>
      <c r="D25" s="14" t="s">
        <v>1602</v>
      </c>
      <c r="E25" s="15" t="s">
        <v>4765</v>
      </c>
      <c r="F25" s="15" t="s">
        <v>4766</v>
      </c>
      <c r="G25" s="15"/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4767</v>
      </c>
      <c r="B26" s="15" t="s">
        <v>1042</v>
      </c>
      <c r="C26" s="14" t="s">
        <v>1498</v>
      </c>
      <c r="D26" s="14" t="s">
        <v>1499</v>
      </c>
      <c r="E26" s="15" t="s">
        <v>4768</v>
      </c>
      <c r="F26" s="15" t="s">
        <v>4769</v>
      </c>
      <c r="G26" s="15"/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4770</v>
      </c>
      <c r="B27" s="15" t="s">
        <v>1042</v>
      </c>
      <c r="C27" s="14" t="s">
        <v>1507</v>
      </c>
      <c r="D27" s="14" t="s">
        <v>1508</v>
      </c>
      <c r="E27" s="15" t="s">
        <v>4771</v>
      </c>
      <c r="F27" s="15" t="s">
        <v>4772</v>
      </c>
      <c r="G27" s="15" t="s">
        <v>4773</v>
      </c>
      <c r="H27" s="16" t="s">
        <v>44</v>
      </c>
      <c r="I27" s="17"/>
      <c r="J27" s="17"/>
    </row>
    <row r="28" customFormat="false" ht="58.2" hidden="false" customHeight="false" outlineLevel="0" collapsed="false">
      <c r="A28" s="14" t="s">
        <v>4774</v>
      </c>
      <c r="B28" s="15" t="s">
        <v>1042</v>
      </c>
      <c r="C28" s="14" t="s">
        <v>1517</v>
      </c>
      <c r="D28" s="14" t="s">
        <v>1518</v>
      </c>
      <c r="E28" s="15" t="s">
        <v>4775</v>
      </c>
      <c r="F28" s="15" t="s">
        <v>4776</v>
      </c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4777</v>
      </c>
      <c r="B29" s="15" t="s">
        <v>1042</v>
      </c>
      <c r="C29" s="14" t="s">
        <v>1526</v>
      </c>
      <c r="D29" s="14" t="s">
        <v>1527</v>
      </c>
      <c r="E29" s="15" t="s">
        <v>4778</v>
      </c>
      <c r="F29" s="15" t="s">
        <v>4779</v>
      </c>
      <c r="G29" s="15"/>
      <c r="H29" s="16" t="s">
        <v>44</v>
      </c>
      <c r="I29" s="17"/>
      <c r="J29" s="17"/>
    </row>
    <row r="30" customFormat="false" ht="58.2" hidden="false" customHeight="false" outlineLevel="0" collapsed="false">
      <c r="A30" s="14" t="s">
        <v>4780</v>
      </c>
      <c r="B30" s="15" t="s">
        <v>1042</v>
      </c>
      <c r="C30" s="14" t="s">
        <v>1535</v>
      </c>
      <c r="D30" s="14" t="s">
        <v>1536</v>
      </c>
      <c r="E30" s="15" t="s">
        <v>4781</v>
      </c>
      <c r="F30" s="15" t="s">
        <v>4782</v>
      </c>
      <c r="G30" s="15"/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4783</v>
      </c>
      <c r="B31" s="15" t="s">
        <v>1042</v>
      </c>
      <c r="C31" s="14" t="s">
        <v>1545</v>
      </c>
      <c r="D31" s="14" t="s">
        <v>1546</v>
      </c>
      <c r="E31" s="15" t="s">
        <v>4784</v>
      </c>
      <c r="F31" s="15" t="s">
        <v>4785</v>
      </c>
      <c r="G31" s="15"/>
      <c r="H31" s="16" t="s">
        <v>44</v>
      </c>
      <c r="I31" s="17"/>
      <c r="J31" s="17"/>
    </row>
    <row r="32" customFormat="false" ht="58.2" hidden="false" customHeight="false" outlineLevel="0" collapsed="false">
      <c r="A32" s="14" t="s">
        <v>4786</v>
      </c>
      <c r="B32" s="15" t="s">
        <v>1042</v>
      </c>
      <c r="C32" s="14" t="s">
        <v>1554</v>
      </c>
      <c r="D32" s="14" t="s">
        <v>1555</v>
      </c>
      <c r="E32" s="15" t="s">
        <v>4787</v>
      </c>
      <c r="F32" s="15" t="s">
        <v>4788</v>
      </c>
      <c r="G32" s="14" t="s">
        <v>4789</v>
      </c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4790</v>
      </c>
      <c r="B33" s="15" t="s">
        <v>1042</v>
      </c>
      <c r="C33" s="14" t="s">
        <v>1564</v>
      </c>
      <c r="D33" s="14" t="s">
        <v>1565</v>
      </c>
      <c r="E33" s="15" t="s">
        <v>4791</v>
      </c>
      <c r="F33" s="15" t="s">
        <v>4792</v>
      </c>
      <c r="G33" s="15"/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4793</v>
      </c>
      <c r="B34" s="15" t="s">
        <v>1042</v>
      </c>
      <c r="C34" s="14" t="s">
        <v>1574</v>
      </c>
      <c r="D34" s="14" t="s">
        <v>1575</v>
      </c>
      <c r="E34" s="15" t="s">
        <v>4794</v>
      </c>
      <c r="F34" s="15" t="s">
        <v>4795</v>
      </c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4796</v>
      </c>
      <c r="B35" s="15" t="s">
        <v>1042</v>
      </c>
      <c r="C35" s="14" t="s">
        <v>1583</v>
      </c>
      <c r="D35" s="14" t="s">
        <v>1584</v>
      </c>
      <c r="E35" s="15" t="s">
        <v>4797</v>
      </c>
      <c r="F35" s="15" t="s">
        <v>4798</v>
      </c>
      <c r="G35" s="15"/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4799</v>
      </c>
      <c r="B36" s="15" t="s">
        <v>1042</v>
      </c>
      <c r="C36" s="14" t="s">
        <v>1592</v>
      </c>
      <c r="D36" s="14" t="s">
        <v>1593</v>
      </c>
      <c r="E36" s="15" t="s">
        <v>4800</v>
      </c>
      <c r="F36" s="15" t="s">
        <v>4801</v>
      </c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4802</v>
      </c>
      <c r="B37" s="15" t="s">
        <v>1042</v>
      </c>
      <c r="C37" s="14" t="s">
        <v>1601</v>
      </c>
      <c r="D37" s="14" t="s">
        <v>1602</v>
      </c>
      <c r="E37" s="15" t="s">
        <v>4803</v>
      </c>
      <c r="F37" s="15" t="s">
        <v>4804</v>
      </c>
      <c r="G37" s="15"/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4805</v>
      </c>
      <c r="B38" s="15" t="s">
        <v>1192</v>
      </c>
      <c r="C38" s="14" t="s">
        <v>1498</v>
      </c>
      <c r="D38" s="14" t="s">
        <v>1499</v>
      </c>
      <c r="E38" s="15" t="s">
        <v>4806</v>
      </c>
      <c r="F38" s="15" t="s">
        <v>4807</v>
      </c>
      <c r="G38" s="15"/>
      <c r="H38" s="16" t="s">
        <v>44</v>
      </c>
      <c r="I38" s="17"/>
      <c r="J38" s="17"/>
    </row>
    <row r="39" customFormat="false" ht="58.2" hidden="false" customHeight="false" outlineLevel="0" collapsed="false">
      <c r="A39" s="14" t="s">
        <v>4808</v>
      </c>
      <c r="B39" s="15" t="s">
        <v>1192</v>
      </c>
      <c r="C39" s="14" t="s">
        <v>1507</v>
      </c>
      <c r="D39" s="14" t="s">
        <v>1508</v>
      </c>
      <c r="E39" s="15" t="s">
        <v>4809</v>
      </c>
      <c r="F39" s="15" t="s">
        <v>4810</v>
      </c>
      <c r="G39" s="15" t="s">
        <v>4811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4812</v>
      </c>
      <c r="B40" s="15" t="s">
        <v>1192</v>
      </c>
      <c r="C40" s="14" t="s">
        <v>1517</v>
      </c>
      <c r="D40" s="14" t="s">
        <v>1518</v>
      </c>
      <c r="E40" s="15" t="s">
        <v>4813</v>
      </c>
      <c r="F40" s="15" t="s">
        <v>4814</v>
      </c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4815</v>
      </c>
      <c r="B41" s="15" t="s">
        <v>1192</v>
      </c>
      <c r="C41" s="14" t="s">
        <v>1526</v>
      </c>
      <c r="D41" s="14" t="s">
        <v>1527</v>
      </c>
      <c r="E41" s="15" t="s">
        <v>4816</v>
      </c>
      <c r="F41" s="15" t="s">
        <v>4817</v>
      </c>
      <c r="G41" s="15"/>
      <c r="H41" s="16" t="s">
        <v>44</v>
      </c>
      <c r="I41" s="17"/>
      <c r="J41" s="17"/>
    </row>
    <row r="42" customFormat="false" ht="58.2" hidden="false" customHeight="false" outlineLevel="0" collapsed="false">
      <c r="A42" s="14" t="s">
        <v>4818</v>
      </c>
      <c r="B42" s="15" t="s">
        <v>1192</v>
      </c>
      <c r="C42" s="14" t="s">
        <v>1535</v>
      </c>
      <c r="D42" s="14" t="s">
        <v>1536</v>
      </c>
      <c r="E42" s="15" t="s">
        <v>4819</v>
      </c>
      <c r="F42" s="15" t="s">
        <v>4820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4821</v>
      </c>
      <c r="B43" s="15" t="s">
        <v>1192</v>
      </c>
      <c r="C43" s="14" t="s">
        <v>1545</v>
      </c>
      <c r="D43" s="14" t="s">
        <v>1546</v>
      </c>
      <c r="E43" s="15" t="s">
        <v>4822</v>
      </c>
      <c r="F43" s="15" t="s">
        <v>4823</v>
      </c>
      <c r="G43" s="15"/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4824</v>
      </c>
      <c r="B44" s="15" t="s">
        <v>1192</v>
      </c>
      <c r="C44" s="14" t="s">
        <v>1554</v>
      </c>
      <c r="D44" s="14" t="s">
        <v>1555</v>
      </c>
      <c r="E44" s="15" t="s">
        <v>4825</v>
      </c>
      <c r="F44" s="15" t="s">
        <v>4826</v>
      </c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4827</v>
      </c>
      <c r="B45" s="15" t="s">
        <v>1192</v>
      </c>
      <c r="C45" s="14" t="s">
        <v>1564</v>
      </c>
      <c r="D45" s="14" t="s">
        <v>1565</v>
      </c>
      <c r="E45" s="15" t="s">
        <v>4828</v>
      </c>
      <c r="F45" s="15" t="s">
        <v>4829</v>
      </c>
      <c r="G45" s="15"/>
      <c r="H45" s="16" t="s">
        <v>44</v>
      </c>
      <c r="I45" s="17"/>
      <c r="J45" s="17"/>
    </row>
    <row r="46" customFormat="false" ht="58.2" hidden="false" customHeight="false" outlineLevel="0" collapsed="false">
      <c r="A46" s="14" t="s">
        <v>4830</v>
      </c>
      <c r="B46" s="15" t="s">
        <v>1192</v>
      </c>
      <c r="C46" s="14" t="s">
        <v>1574</v>
      </c>
      <c r="D46" s="14" t="s">
        <v>1575</v>
      </c>
      <c r="E46" s="15" t="s">
        <v>4831</v>
      </c>
      <c r="F46" s="15" t="s">
        <v>4832</v>
      </c>
      <c r="G46" s="15"/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4833</v>
      </c>
      <c r="B47" s="15" t="s">
        <v>1192</v>
      </c>
      <c r="C47" s="14" t="s">
        <v>1583</v>
      </c>
      <c r="D47" s="14" t="s">
        <v>1584</v>
      </c>
      <c r="E47" s="15" t="s">
        <v>4834</v>
      </c>
      <c r="F47" s="15" t="s">
        <v>4835</v>
      </c>
      <c r="G47" s="15"/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4836</v>
      </c>
      <c r="B48" s="15" t="s">
        <v>1192</v>
      </c>
      <c r="C48" s="14" t="s">
        <v>1592</v>
      </c>
      <c r="D48" s="14" t="s">
        <v>1593</v>
      </c>
      <c r="E48" s="15" t="s">
        <v>4837</v>
      </c>
      <c r="F48" s="15" t="s">
        <v>4838</v>
      </c>
      <c r="G48" s="15"/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4839</v>
      </c>
      <c r="B49" s="15" t="s">
        <v>1192</v>
      </c>
      <c r="C49" s="14" t="s">
        <v>1601</v>
      </c>
      <c r="D49" s="14" t="s">
        <v>1602</v>
      </c>
      <c r="E49" s="15" t="s">
        <v>4840</v>
      </c>
      <c r="F49" s="15" t="s">
        <v>4841</v>
      </c>
      <c r="G49" s="15"/>
      <c r="H49" s="16" t="s">
        <v>44</v>
      </c>
      <c r="I49" s="17"/>
      <c r="J49" s="17"/>
    </row>
    <row r="50" customFormat="false" ht="58.2" hidden="false" customHeight="false" outlineLevel="0" collapsed="false">
      <c r="A50" s="14" t="s">
        <v>4842</v>
      </c>
      <c r="B50" s="15" t="s">
        <v>1342</v>
      </c>
      <c r="C50" s="14" t="s">
        <v>1498</v>
      </c>
      <c r="D50" s="14" t="s">
        <v>1499</v>
      </c>
      <c r="E50" s="15" t="s">
        <v>4843</v>
      </c>
      <c r="F50" s="15" t="s">
        <v>4844</v>
      </c>
      <c r="G50" s="15"/>
      <c r="H50" s="16" t="s">
        <v>44</v>
      </c>
      <c r="I50" s="17"/>
      <c r="J50" s="17"/>
    </row>
    <row r="51" customFormat="false" ht="58.2" hidden="false" customHeight="false" outlineLevel="0" collapsed="false">
      <c r="A51" s="14" t="s">
        <v>4845</v>
      </c>
      <c r="B51" s="15" t="s">
        <v>1342</v>
      </c>
      <c r="C51" s="14" t="s">
        <v>1507</v>
      </c>
      <c r="D51" s="14" t="s">
        <v>1508</v>
      </c>
      <c r="E51" s="15" t="s">
        <v>4846</v>
      </c>
      <c r="F51" s="15" t="s">
        <v>4847</v>
      </c>
      <c r="G51" s="15" t="s">
        <v>4848</v>
      </c>
      <c r="H51" s="16" t="s">
        <v>44</v>
      </c>
      <c r="I51" s="17"/>
      <c r="J51" s="17"/>
    </row>
    <row r="52" customFormat="false" ht="58.2" hidden="false" customHeight="false" outlineLevel="0" collapsed="false">
      <c r="A52" s="14" t="s">
        <v>4849</v>
      </c>
      <c r="B52" s="15" t="s">
        <v>1342</v>
      </c>
      <c r="C52" s="14" t="s">
        <v>1517</v>
      </c>
      <c r="D52" s="14" t="s">
        <v>1518</v>
      </c>
      <c r="E52" s="15" t="s">
        <v>4850</v>
      </c>
      <c r="F52" s="15" t="s">
        <v>4851</v>
      </c>
      <c r="G52" s="15"/>
      <c r="H52" s="16" t="s">
        <v>44</v>
      </c>
      <c r="I52" s="17"/>
      <c r="J52" s="17"/>
    </row>
    <row r="53" customFormat="false" ht="58.2" hidden="false" customHeight="false" outlineLevel="0" collapsed="false">
      <c r="A53" s="14" t="s">
        <v>4852</v>
      </c>
      <c r="B53" s="15" t="s">
        <v>1342</v>
      </c>
      <c r="C53" s="14" t="s">
        <v>1526</v>
      </c>
      <c r="D53" s="14" t="s">
        <v>1527</v>
      </c>
      <c r="E53" s="15" t="s">
        <v>4853</v>
      </c>
      <c r="F53" s="15" t="s">
        <v>4854</v>
      </c>
      <c r="G53" s="14" t="s">
        <v>4855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4856</v>
      </c>
      <c r="B54" s="15" t="s">
        <v>1342</v>
      </c>
      <c r="C54" s="14" t="s">
        <v>1535</v>
      </c>
      <c r="D54" s="14" t="s">
        <v>1536</v>
      </c>
      <c r="E54" s="15" t="s">
        <v>4857</v>
      </c>
      <c r="F54" s="15" t="s">
        <v>4858</v>
      </c>
      <c r="G54" s="15"/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4859</v>
      </c>
      <c r="B55" s="15" t="s">
        <v>1342</v>
      </c>
      <c r="C55" s="14" t="s">
        <v>1545</v>
      </c>
      <c r="D55" s="14" t="s">
        <v>1546</v>
      </c>
      <c r="E55" s="15" t="s">
        <v>4860</v>
      </c>
      <c r="F55" s="15" t="s">
        <v>4861</v>
      </c>
      <c r="G55" s="15"/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4862</v>
      </c>
      <c r="B56" s="15" t="s">
        <v>1342</v>
      </c>
      <c r="C56" s="14" t="s">
        <v>1554</v>
      </c>
      <c r="D56" s="14" t="s">
        <v>1555</v>
      </c>
      <c r="E56" s="15" t="s">
        <v>4863</v>
      </c>
      <c r="F56" s="15" t="s">
        <v>4864</v>
      </c>
      <c r="G56" s="14" t="s">
        <v>4865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4866</v>
      </c>
      <c r="B57" s="15" t="s">
        <v>1342</v>
      </c>
      <c r="C57" s="14" t="s">
        <v>1564</v>
      </c>
      <c r="D57" s="14" t="s">
        <v>1565</v>
      </c>
      <c r="E57" s="15" t="s">
        <v>4867</v>
      </c>
      <c r="F57" s="15" t="s">
        <v>4868</v>
      </c>
      <c r="G57" s="14" t="s">
        <v>4869</v>
      </c>
      <c r="H57" s="16" t="s">
        <v>44</v>
      </c>
      <c r="I57" s="17"/>
      <c r="J57" s="17"/>
    </row>
    <row r="58" customFormat="false" ht="58.2" hidden="false" customHeight="false" outlineLevel="0" collapsed="false">
      <c r="A58" s="14" t="s">
        <v>4870</v>
      </c>
      <c r="B58" s="15" t="s">
        <v>1342</v>
      </c>
      <c r="C58" s="14" t="s">
        <v>1574</v>
      </c>
      <c r="D58" s="14" t="s">
        <v>1575</v>
      </c>
      <c r="E58" s="15" t="s">
        <v>4871</v>
      </c>
      <c r="F58" s="15" t="s">
        <v>4872</v>
      </c>
      <c r="G58" s="15"/>
      <c r="H58" s="16" t="s">
        <v>44</v>
      </c>
      <c r="I58" s="17"/>
      <c r="J58" s="17"/>
    </row>
    <row r="59" customFormat="false" ht="58.2" hidden="false" customHeight="false" outlineLevel="0" collapsed="false">
      <c r="A59" s="14" t="s">
        <v>4873</v>
      </c>
      <c r="B59" s="15" t="s">
        <v>1342</v>
      </c>
      <c r="C59" s="14" t="s">
        <v>1583</v>
      </c>
      <c r="D59" s="14" t="s">
        <v>1584</v>
      </c>
      <c r="E59" s="15" t="s">
        <v>4874</v>
      </c>
      <c r="F59" s="15" t="s">
        <v>4875</v>
      </c>
      <c r="G59" s="15"/>
      <c r="H59" s="16" t="s">
        <v>44</v>
      </c>
      <c r="I59" s="17"/>
      <c r="J59" s="17"/>
    </row>
    <row r="60" customFormat="false" ht="58.2" hidden="false" customHeight="false" outlineLevel="0" collapsed="false">
      <c r="A60" s="14" t="s">
        <v>4876</v>
      </c>
      <c r="B60" s="15" t="s">
        <v>1342</v>
      </c>
      <c r="C60" s="14" t="s">
        <v>1592</v>
      </c>
      <c r="D60" s="14" t="s">
        <v>1593</v>
      </c>
      <c r="E60" s="15" t="s">
        <v>4877</v>
      </c>
      <c r="F60" s="15" t="s">
        <v>4878</v>
      </c>
      <c r="G60" s="15"/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4879</v>
      </c>
      <c r="B61" s="15" t="s">
        <v>1342</v>
      </c>
      <c r="C61" s="14" t="s">
        <v>1601</v>
      </c>
      <c r="D61" s="14" t="s">
        <v>1602</v>
      </c>
      <c r="E61" s="15" t="s">
        <v>4880</v>
      </c>
      <c r="F61" s="15" t="s">
        <v>4881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8.8"/>
    <col collapsed="false" customWidth="true" hidden="false" outlineLevel="0" max="6" min="6" style="0" width="33"/>
    <col collapsed="false" customWidth="true" hidden="false" outlineLevel="0" max="8" min="7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9.85" hidden="false" customHeight="false" outlineLevel="0" collapsed="false">
      <c r="A1" s="12" t="s">
        <v>148</v>
      </c>
      <c r="B1" s="13" t="s">
        <v>4882</v>
      </c>
      <c r="C1" s="13" t="s">
        <v>4883</v>
      </c>
      <c r="D1" s="13" t="s">
        <v>719</v>
      </c>
      <c r="E1" s="13" t="s">
        <v>4884</v>
      </c>
      <c r="F1" s="13" t="s">
        <v>4885</v>
      </c>
      <c r="G1" s="13" t="s">
        <v>4349</v>
      </c>
      <c r="H1" s="13" t="s">
        <v>159</v>
      </c>
      <c r="I1" s="13" t="s">
        <v>160</v>
      </c>
      <c r="J1" s="13" t="s">
        <v>161</v>
      </c>
      <c r="K1" s="13" t="s">
        <v>162</v>
      </c>
    </row>
    <row r="2" customFormat="false" ht="44" hidden="false" customHeight="false" outlineLevel="0" collapsed="false">
      <c r="A2" s="14" t="s">
        <v>4886</v>
      </c>
      <c r="B2" s="15" t="s">
        <v>212</v>
      </c>
      <c r="C2" s="15" t="s">
        <v>203</v>
      </c>
      <c r="D2" s="15" t="s">
        <v>727</v>
      </c>
      <c r="E2" s="15" t="s">
        <v>4887</v>
      </c>
      <c r="F2" s="15" t="s">
        <v>4888</v>
      </c>
      <c r="G2" s="15" t="s">
        <v>4889</v>
      </c>
      <c r="H2" s="15"/>
      <c r="I2" s="16" t="s">
        <v>44</v>
      </c>
      <c r="J2" s="17"/>
      <c r="K2" s="17"/>
    </row>
    <row r="3" customFormat="false" ht="44" hidden="false" customHeight="false" outlineLevel="0" collapsed="false">
      <c r="A3" s="14" t="s">
        <v>4890</v>
      </c>
      <c r="B3" s="15" t="s">
        <v>212</v>
      </c>
      <c r="C3" s="15" t="s">
        <v>203</v>
      </c>
      <c r="D3" s="15" t="s">
        <v>736</v>
      </c>
      <c r="E3" s="15" t="s">
        <v>4891</v>
      </c>
      <c r="F3" s="15" t="s">
        <v>4892</v>
      </c>
      <c r="G3" s="15" t="s">
        <v>4893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4894</v>
      </c>
      <c r="B4" s="15" t="s">
        <v>212</v>
      </c>
      <c r="C4" s="15" t="s">
        <v>203</v>
      </c>
      <c r="D4" s="15" t="s">
        <v>744</v>
      </c>
      <c r="E4" s="15" t="s">
        <v>4895</v>
      </c>
      <c r="F4" s="15" t="s">
        <v>4896</v>
      </c>
      <c r="G4" s="15" t="s">
        <v>4897</v>
      </c>
      <c r="H4" s="15"/>
      <c r="I4" s="16" t="s">
        <v>44</v>
      </c>
      <c r="J4" s="17"/>
      <c r="K4" s="17"/>
    </row>
    <row r="5" customFormat="false" ht="44" hidden="false" customHeight="false" outlineLevel="0" collapsed="false">
      <c r="A5" s="14" t="s">
        <v>4898</v>
      </c>
      <c r="B5" s="15" t="s">
        <v>212</v>
      </c>
      <c r="C5" s="15" t="s">
        <v>193</v>
      </c>
      <c r="D5" s="15" t="s">
        <v>727</v>
      </c>
      <c r="E5" s="15" t="s">
        <v>4899</v>
      </c>
      <c r="F5" s="15" t="s">
        <v>4900</v>
      </c>
      <c r="G5" s="15" t="s">
        <v>4901</v>
      </c>
      <c r="H5" s="15"/>
      <c r="I5" s="16" t="s">
        <v>44</v>
      </c>
      <c r="J5" s="17"/>
      <c r="K5" s="17"/>
    </row>
    <row r="6" customFormat="false" ht="37.3" hidden="false" customHeight="false" outlineLevel="0" collapsed="false">
      <c r="A6" s="14" t="s">
        <v>4902</v>
      </c>
      <c r="B6" s="15" t="s">
        <v>212</v>
      </c>
      <c r="C6" s="15" t="s">
        <v>193</v>
      </c>
      <c r="D6" s="15" t="s">
        <v>736</v>
      </c>
      <c r="E6" s="15" t="s">
        <v>4903</v>
      </c>
      <c r="F6" s="15" t="s">
        <v>4904</v>
      </c>
      <c r="G6" s="15" t="s">
        <v>4905</v>
      </c>
      <c r="H6" s="15" t="s">
        <v>4906</v>
      </c>
      <c r="I6" s="16" t="s">
        <v>44</v>
      </c>
      <c r="J6" s="17"/>
      <c r="K6" s="17"/>
    </row>
    <row r="7" customFormat="false" ht="37.3" hidden="false" customHeight="false" outlineLevel="0" collapsed="false">
      <c r="A7" s="14" t="s">
        <v>4907</v>
      </c>
      <c r="B7" s="15" t="s">
        <v>212</v>
      </c>
      <c r="C7" s="15" t="s">
        <v>193</v>
      </c>
      <c r="D7" s="15" t="s">
        <v>744</v>
      </c>
      <c r="E7" s="15" t="s">
        <v>4908</v>
      </c>
      <c r="F7" s="15" t="s">
        <v>4904</v>
      </c>
      <c r="G7" s="15" t="s">
        <v>4905</v>
      </c>
      <c r="H7" s="15" t="s">
        <v>4906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4909</v>
      </c>
      <c r="B8" s="15" t="s">
        <v>212</v>
      </c>
      <c r="C8" s="15" t="s">
        <v>182</v>
      </c>
      <c r="D8" s="15" t="s">
        <v>727</v>
      </c>
      <c r="E8" s="15" t="s">
        <v>4910</v>
      </c>
      <c r="F8" s="15" t="s">
        <v>4911</v>
      </c>
      <c r="G8" s="15" t="s">
        <v>4912</v>
      </c>
      <c r="H8" s="15"/>
      <c r="I8" s="16" t="s">
        <v>44</v>
      </c>
      <c r="J8" s="17"/>
      <c r="K8" s="17"/>
    </row>
    <row r="9" customFormat="false" ht="29.85" hidden="false" customHeight="false" outlineLevel="0" collapsed="false">
      <c r="A9" s="14" t="s">
        <v>4913</v>
      </c>
      <c r="B9" s="15" t="s">
        <v>212</v>
      </c>
      <c r="C9" s="15" t="s">
        <v>182</v>
      </c>
      <c r="D9" s="15" t="s">
        <v>736</v>
      </c>
      <c r="E9" s="15" t="s">
        <v>4914</v>
      </c>
      <c r="F9" s="15" t="s">
        <v>4915</v>
      </c>
      <c r="G9" s="15" t="s">
        <v>4916</v>
      </c>
      <c r="H9" s="15" t="s">
        <v>4906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4917</v>
      </c>
      <c r="B10" s="15" t="s">
        <v>212</v>
      </c>
      <c r="C10" s="15" t="s">
        <v>182</v>
      </c>
      <c r="D10" s="15" t="s">
        <v>744</v>
      </c>
      <c r="E10" s="15" t="s">
        <v>4918</v>
      </c>
      <c r="F10" s="15" t="s">
        <v>4915</v>
      </c>
      <c r="G10" s="15" t="s">
        <v>4916</v>
      </c>
      <c r="H10" s="15" t="s">
        <v>4906</v>
      </c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4919</v>
      </c>
      <c r="B11" s="15" t="s">
        <v>212</v>
      </c>
      <c r="C11" s="15" t="s">
        <v>170</v>
      </c>
      <c r="D11" s="15" t="s">
        <v>727</v>
      </c>
      <c r="E11" s="15" t="s">
        <v>4920</v>
      </c>
      <c r="F11" s="15" t="s">
        <v>4921</v>
      </c>
      <c r="G11" s="15" t="s">
        <v>4922</v>
      </c>
      <c r="H11" s="15"/>
      <c r="I11" s="16" t="s">
        <v>44</v>
      </c>
      <c r="J11" s="17"/>
      <c r="K11" s="17"/>
    </row>
    <row r="12" customFormat="false" ht="29.85" hidden="false" customHeight="false" outlineLevel="0" collapsed="false">
      <c r="A12" s="14" t="s">
        <v>4923</v>
      </c>
      <c r="B12" s="15" t="s">
        <v>212</v>
      </c>
      <c r="C12" s="15" t="s">
        <v>170</v>
      </c>
      <c r="D12" s="15" t="s">
        <v>736</v>
      </c>
      <c r="E12" s="15" t="s">
        <v>4924</v>
      </c>
      <c r="F12" s="15" t="s">
        <v>4925</v>
      </c>
      <c r="G12" s="15" t="s">
        <v>4926</v>
      </c>
      <c r="H12" s="15"/>
      <c r="I12" s="16" t="s">
        <v>44</v>
      </c>
      <c r="J12" s="17"/>
      <c r="K12" s="17"/>
    </row>
    <row r="13" customFormat="false" ht="44" hidden="false" customHeight="false" outlineLevel="0" collapsed="false">
      <c r="A13" s="14" t="s">
        <v>4927</v>
      </c>
      <c r="B13" s="15" t="s">
        <v>212</v>
      </c>
      <c r="C13" s="15" t="s">
        <v>170</v>
      </c>
      <c r="D13" s="15" t="s">
        <v>744</v>
      </c>
      <c r="E13" s="15" t="s">
        <v>4928</v>
      </c>
      <c r="F13" s="15" t="s">
        <v>4929</v>
      </c>
      <c r="G13" s="15" t="s">
        <v>4930</v>
      </c>
      <c r="H13" s="15"/>
      <c r="I13" s="16" t="s">
        <v>44</v>
      </c>
      <c r="J13" s="17"/>
      <c r="K13" s="17"/>
    </row>
    <row r="14" customFormat="false" ht="29.85" hidden="false" customHeight="false" outlineLevel="0" collapsed="false">
      <c r="A14" s="14" t="s">
        <v>4931</v>
      </c>
      <c r="B14" s="15" t="s">
        <v>212</v>
      </c>
      <c r="C14" s="15" t="s">
        <v>247</v>
      </c>
      <c r="D14" s="15" t="s">
        <v>727</v>
      </c>
      <c r="E14" s="15" t="s">
        <v>4932</v>
      </c>
      <c r="F14" s="15" t="s">
        <v>4933</v>
      </c>
      <c r="G14" s="15" t="s">
        <v>4934</v>
      </c>
      <c r="H14" s="15"/>
      <c r="I14" s="16" t="s">
        <v>44</v>
      </c>
      <c r="J14" s="17"/>
      <c r="K14" s="17"/>
    </row>
    <row r="15" customFormat="false" ht="44" hidden="false" customHeight="false" outlineLevel="0" collapsed="false">
      <c r="A15" s="14" t="s">
        <v>4935</v>
      </c>
      <c r="B15" s="15" t="s">
        <v>212</v>
      </c>
      <c r="C15" s="15" t="s">
        <v>247</v>
      </c>
      <c r="D15" s="15" t="s">
        <v>736</v>
      </c>
      <c r="E15" s="15" t="s">
        <v>4936</v>
      </c>
      <c r="F15" s="15" t="s">
        <v>4937</v>
      </c>
      <c r="G15" s="15" t="s">
        <v>4938</v>
      </c>
      <c r="H15" s="15"/>
      <c r="I15" s="16" t="s">
        <v>44</v>
      </c>
      <c r="J15" s="17"/>
      <c r="K15" s="17"/>
    </row>
    <row r="16" customFormat="false" ht="37.3" hidden="false" customHeight="false" outlineLevel="0" collapsed="false">
      <c r="A16" s="14" t="s">
        <v>4939</v>
      </c>
      <c r="B16" s="15" t="s">
        <v>212</v>
      </c>
      <c r="C16" s="15" t="s">
        <v>247</v>
      </c>
      <c r="D16" s="15" t="s">
        <v>744</v>
      </c>
      <c r="E16" s="15" t="s">
        <v>4940</v>
      </c>
      <c r="F16" s="15" t="s">
        <v>4941</v>
      </c>
      <c r="G16" s="15" t="s">
        <v>4942</v>
      </c>
      <c r="H16" s="15"/>
      <c r="I16" s="16" t="s">
        <v>44</v>
      </c>
      <c r="J16" s="17"/>
      <c r="K16" s="17"/>
    </row>
    <row r="17" customFormat="false" ht="44" hidden="false" customHeight="false" outlineLevel="0" collapsed="false">
      <c r="A17" s="14" t="s">
        <v>4943</v>
      </c>
      <c r="B17" s="15" t="s">
        <v>212</v>
      </c>
      <c r="C17" s="15" t="s">
        <v>256</v>
      </c>
      <c r="D17" s="15" t="s">
        <v>727</v>
      </c>
      <c r="E17" s="15" t="s">
        <v>4944</v>
      </c>
      <c r="F17" s="15" t="s">
        <v>4945</v>
      </c>
      <c r="G17" s="15" t="s">
        <v>4946</v>
      </c>
      <c r="H17" s="15"/>
      <c r="I17" s="16" t="s">
        <v>44</v>
      </c>
      <c r="J17" s="17"/>
      <c r="K17" s="17"/>
    </row>
    <row r="18" customFormat="false" ht="29.85" hidden="false" customHeight="false" outlineLevel="0" collapsed="false">
      <c r="A18" s="14" t="s">
        <v>4947</v>
      </c>
      <c r="B18" s="15" t="s">
        <v>212</v>
      </c>
      <c r="C18" s="15" t="s">
        <v>256</v>
      </c>
      <c r="D18" s="15" t="s">
        <v>736</v>
      </c>
      <c r="E18" s="15" t="s">
        <v>4948</v>
      </c>
      <c r="F18" s="15" t="s">
        <v>4949</v>
      </c>
      <c r="G18" s="15" t="s">
        <v>4950</v>
      </c>
      <c r="H18" s="15"/>
      <c r="I18" s="16" t="s">
        <v>44</v>
      </c>
      <c r="J18" s="17"/>
      <c r="K18" s="17"/>
    </row>
    <row r="19" customFormat="false" ht="44" hidden="false" customHeight="false" outlineLevel="0" collapsed="false">
      <c r="A19" s="14" t="s">
        <v>4951</v>
      </c>
      <c r="B19" s="15" t="s">
        <v>212</v>
      </c>
      <c r="C19" s="15" t="s">
        <v>256</v>
      </c>
      <c r="D19" s="15" t="s">
        <v>744</v>
      </c>
      <c r="E19" s="15" t="s">
        <v>4952</v>
      </c>
      <c r="F19" s="15" t="s">
        <v>4953</v>
      </c>
      <c r="G19" s="15" t="s">
        <v>4954</v>
      </c>
      <c r="H19" s="15"/>
      <c r="I19" s="16" t="s">
        <v>44</v>
      </c>
      <c r="J19" s="17"/>
      <c r="K19" s="17"/>
    </row>
    <row r="20" customFormat="false" ht="44" hidden="false" customHeight="false" outlineLevel="0" collapsed="false">
      <c r="A20" s="14" t="s">
        <v>4955</v>
      </c>
      <c r="B20" s="15" t="s">
        <v>203</v>
      </c>
      <c r="C20" s="15" t="s">
        <v>193</v>
      </c>
      <c r="D20" s="15" t="s">
        <v>727</v>
      </c>
      <c r="E20" s="15" t="s">
        <v>4956</v>
      </c>
      <c r="F20" s="15" t="s">
        <v>4957</v>
      </c>
      <c r="G20" s="15" t="s">
        <v>4958</v>
      </c>
      <c r="H20" s="15"/>
      <c r="I20" s="16" t="s">
        <v>44</v>
      </c>
      <c r="J20" s="17"/>
      <c r="K20" s="17"/>
    </row>
    <row r="21" customFormat="false" ht="37.3" hidden="false" customHeight="false" outlineLevel="0" collapsed="false">
      <c r="A21" s="14" t="s">
        <v>4959</v>
      </c>
      <c r="B21" s="15" t="s">
        <v>203</v>
      </c>
      <c r="C21" s="15" t="s">
        <v>193</v>
      </c>
      <c r="D21" s="15" t="s">
        <v>736</v>
      </c>
      <c r="E21" s="15" t="s">
        <v>4960</v>
      </c>
      <c r="F21" s="15" t="s">
        <v>4961</v>
      </c>
      <c r="G21" s="15" t="s">
        <v>4962</v>
      </c>
      <c r="H21" s="15"/>
      <c r="I21" s="16" t="s">
        <v>44</v>
      </c>
      <c r="J21" s="17"/>
      <c r="K21" s="17"/>
    </row>
    <row r="22" customFormat="false" ht="37.3" hidden="false" customHeight="false" outlineLevel="0" collapsed="false">
      <c r="A22" s="14" t="s">
        <v>4963</v>
      </c>
      <c r="B22" s="15" t="s">
        <v>203</v>
      </c>
      <c r="C22" s="15" t="s">
        <v>193</v>
      </c>
      <c r="D22" s="15" t="s">
        <v>744</v>
      </c>
      <c r="E22" s="15" t="s">
        <v>4964</v>
      </c>
      <c r="F22" s="15" t="s">
        <v>4965</v>
      </c>
      <c r="G22" s="15" t="s">
        <v>4966</v>
      </c>
      <c r="H22" s="15"/>
      <c r="I22" s="16" t="s">
        <v>44</v>
      </c>
      <c r="J22" s="17"/>
      <c r="K22" s="17"/>
    </row>
    <row r="23" customFormat="false" ht="37.3" hidden="false" customHeight="false" outlineLevel="0" collapsed="false">
      <c r="A23" s="14" t="s">
        <v>4967</v>
      </c>
      <c r="B23" s="15" t="s">
        <v>203</v>
      </c>
      <c r="C23" s="15" t="s">
        <v>182</v>
      </c>
      <c r="D23" s="15" t="s">
        <v>727</v>
      </c>
      <c r="E23" s="15" t="s">
        <v>4968</v>
      </c>
      <c r="F23" s="15" t="s">
        <v>4969</v>
      </c>
      <c r="G23" s="15" t="s">
        <v>4970</v>
      </c>
      <c r="H23" s="15"/>
      <c r="I23" s="16" t="s">
        <v>44</v>
      </c>
      <c r="J23" s="17"/>
      <c r="K23" s="17"/>
    </row>
    <row r="24" customFormat="false" ht="44" hidden="false" customHeight="false" outlineLevel="0" collapsed="false">
      <c r="A24" s="14" t="s">
        <v>4971</v>
      </c>
      <c r="B24" s="15" t="s">
        <v>203</v>
      </c>
      <c r="C24" s="15" t="s">
        <v>182</v>
      </c>
      <c r="D24" s="15" t="s">
        <v>736</v>
      </c>
      <c r="E24" s="15" t="s">
        <v>4972</v>
      </c>
      <c r="F24" s="15" t="s">
        <v>4973</v>
      </c>
      <c r="G24" s="15" t="s">
        <v>4974</v>
      </c>
      <c r="H24" s="15"/>
      <c r="I24" s="16" t="s">
        <v>44</v>
      </c>
      <c r="J24" s="17"/>
      <c r="K24" s="17"/>
    </row>
    <row r="25" customFormat="false" ht="44" hidden="false" customHeight="false" outlineLevel="0" collapsed="false">
      <c r="A25" s="14" t="s">
        <v>4975</v>
      </c>
      <c r="B25" s="15" t="s">
        <v>203</v>
      </c>
      <c r="C25" s="15" t="s">
        <v>182</v>
      </c>
      <c r="D25" s="15" t="s">
        <v>744</v>
      </c>
      <c r="E25" s="15" t="s">
        <v>4976</v>
      </c>
      <c r="F25" s="15" t="s">
        <v>4977</v>
      </c>
      <c r="G25" s="15" t="s">
        <v>4978</v>
      </c>
      <c r="H25" s="15"/>
      <c r="I25" s="16" t="s">
        <v>44</v>
      </c>
      <c r="J25" s="17"/>
      <c r="K25" s="17"/>
    </row>
    <row r="26" customFormat="false" ht="44" hidden="false" customHeight="false" outlineLevel="0" collapsed="false">
      <c r="A26" s="14" t="s">
        <v>4979</v>
      </c>
      <c r="B26" s="15" t="s">
        <v>203</v>
      </c>
      <c r="C26" s="15" t="s">
        <v>170</v>
      </c>
      <c r="D26" s="15" t="s">
        <v>727</v>
      </c>
      <c r="E26" s="15" t="s">
        <v>4980</v>
      </c>
      <c r="F26" s="15" t="s">
        <v>4981</v>
      </c>
      <c r="G26" s="15" t="s">
        <v>4982</v>
      </c>
      <c r="H26" s="15"/>
      <c r="I26" s="16" t="s">
        <v>44</v>
      </c>
      <c r="J26" s="17"/>
      <c r="K26" s="17"/>
    </row>
    <row r="27" customFormat="false" ht="29.85" hidden="false" customHeight="false" outlineLevel="0" collapsed="false">
      <c r="A27" s="14" t="s">
        <v>4983</v>
      </c>
      <c r="B27" s="15" t="s">
        <v>203</v>
      </c>
      <c r="C27" s="15" t="s">
        <v>170</v>
      </c>
      <c r="D27" s="15" t="s">
        <v>736</v>
      </c>
      <c r="E27" s="15" t="s">
        <v>4984</v>
      </c>
      <c r="F27" s="15" t="s">
        <v>4985</v>
      </c>
      <c r="G27" s="15" t="s">
        <v>4986</v>
      </c>
      <c r="H27" s="15"/>
      <c r="I27" s="16" t="s">
        <v>44</v>
      </c>
      <c r="J27" s="17"/>
      <c r="K27" s="17"/>
    </row>
    <row r="28" customFormat="false" ht="44" hidden="false" customHeight="false" outlineLevel="0" collapsed="false">
      <c r="A28" s="14" t="s">
        <v>4987</v>
      </c>
      <c r="B28" s="15" t="s">
        <v>203</v>
      </c>
      <c r="C28" s="15" t="s">
        <v>170</v>
      </c>
      <c r="D28" s="15" t="s">
        <v>744</v>
      </c>
      <c r="E28" s="15" t="s">
        <v>4988</v>
      </c>
      <c r="F28" s="15" t="s">
        <v>4989</v>
      </c>
      <c r="G28" s="15" t="s">
        <v>4990</v>
      </c>
      <c r="H28" s="15"/>
      <c r="I28" s="16" t="s">
        <v>44</v>
      </c>
      <c r="J28" s="17"/>
      <c r="K28" s="17"/>
    </row>
    <row r="29" customFormat="false" ht="37.3" hidden="false" customHeight="false" outlineLevel="0" collapsed="false">
      <c r="A29" s="14" t="s">
        <v>4991</v>
      </c>
      <c r="B29" s="15" t="s">
        <v>203</v>
      </c>
      <c r="C29" s="15" t="s">
        <v>247</v>
      </c>
      <c r="D29" s="15" t="s">
        <v>727</v>
      </c>
      <c r="E29" s="15" t="s">
        <v>4992</v>
      </c>
      <c r="F29" s="15" t="s">
        <v>4993</v>
      </c>
      <c r="G29" s="15" t="s">
        <v>4994</v>
      </c>
      <c r="H29" s="15"/>
      <c r="I29" s="16" t="s">
        <v>44</v>
      </c>
      <c r="J29" s="17"/>
      <c r="K29" s="17"/>
    </row>
    <row r="30" customFormat="false" ht="37.3" hidden="false" customHeight="false" outlineLevel="0" collapsed="false">
      <c r="A30" s="14" t="s">
        <v>4995</v>
      </c>
      <c r="B30" s="15" t="s">
        <v>203</v>
      </c>
      <c r="C30" s="15" t="s">
        <v>247</v>
      </c>
      <c r="D30" s="15" t="s">
        <v>736</v>
      </c>
      <c r="E30" s="15" t="s">
        <v>4996</v>
      </c>
      <c r="F30" s="15" t="s">
        <v>4997</v>
      </c>
      <c r="G30" s="15" t="s">
        <v>4998</v>
      </c>
      <c r="H30" s="15"/>
      <c r="I30" s="16" t="s">
        <v>44</v>
      </c>
      <c r="J30" s="17"/>
      <c r="K30" s="17"/>
    </row>
    <row r="31" customFormat="false" ht="44" hidden="false" customHeight="false" outlineLevel="0" collapsed="false">
      <c r="A31" s="14" t="s">
        <v>4999</v>
      </c>
      <c r="B31" s="15" t="s">
        <v>203</v>
      </c>
      <c r="C31" s="15" t="s">
        <v>247</v>
      </c>
      <c r="D31" s="15" t="s">
        <v>744</v>
      </c>
      <c r="E31" s="15" t="s">
        <v>5000</v>
      </c>
      <c r="F31" s="15" t="s">
        <v>5001</v>
      </c>
      <c r="G31" s="15" t="s">
        <v>5002</v>
      </c>
      <c r="H31" s="15"/>
      <c r="I31" s="16" t="s">
        <v>44</v>
      </c>
      <c r="J31" s="17"/>
      <c r="K31" s="17"/>
    </row>
    <row r="32" customFormat="false" ht="44" hidden="false" customHeight="false" outlineLevel="0" collapsed="false">
      <c r="A32" s="14" t="s">
        <v>5003</v>
      </c>
      <c r="B32" s="15" t="s">
        <v>203</v>
      </c>
      <c r="C32" s="15" t="s">
        <v>256</v>
      </c>
      <c r="D32" s="15" t="s">
        <v>727</v>
      </c>
      <c r="E32" s="15" t="s">
        <v>5004</v>
      </c>
      <c r="F32" s="15" t="s">
        <v>5005</v>
      </c>
      <c r="G32" s="15" t="s">
        <v>5006</v>
      </c>
      <c r="H32" s="15"/>
      <c r="I32" s="16" t="s">
        <v>44</v>
      </c>
      <c r="J32" s="17"/>
      <c r="K32" s="17"/>
    </row>
    <row r="33" customFormat="false" ht="44" hidden="false" customHeight="false" outlineLevel="0" collapsed="false">
      <c r="A33" s="14" t="s">
        <v>5007</v>
      </c>
      <c r="B33" s="15" t="s">
        <v>203</v>
      </c>
      <c r="C33" s="15" t="s">
        <v>256</v>
      </c>
      <c r="D33" s="15" t="s">
        <v>736</v>
      </c>
      <c r="E33" s="15" t="s">
        <v>5008</v>
      </c>
      <c r="F33" s="15" t="s">
        <v>5009</v>
      </c>
      <c r="G33" s="15" t="s">
        <v>5010</v>
      </c>
      <c r="H33" s="15"/>
      <c r="I33" s="16" t="s">
        <v>44</v>
      </c>
      <c r="J33" s="17"/>
      <c r="K33" s="17"/>
    </row>
    <row r="34" customFormat="false" ht="44" hidden="false" customHeight="false" outlineLevel="0" collapsed="false">
      <c r="A34" s="14" t="s">
        <v>5011</v>
      </c>
      <c r="B34" s="15" t="s">
        <v>203</v>
      </c>
      <c r="C34" s="15" t="s">
        <v>256</v>
      </c>
      <c r="D34" s="15" t="s">
        <v>744</v>
      </c>
      <c r="E34" s="15" t="s">
        <v>5012</v>
      </c>
      <c r="F34" s="15" t="s">
        <v>5013</v>
      </c>
      <c r="G34" s="15" t="s">
        <v>5014</v>
      </c>
      <c r="H34" s="15"/>
      <c r="I34" s="16" t="s">
        <v>44</v>
      </c>
      <c r="J34" s="17"/>
      <c r="K34" s="17"/>
    </row>
    <row r="35" customFormat="false" ht="37.3" hidden="false" customHeight="false" outlineLevel="0" collapsed="false">
      <c r="A35" s="14" t="s">
        <v>5015</v>
      </c>
      <c r="B35" s="15" t="s">
        <v>193</v>
      </c>
      <c r="C35" s="15" t="s">
        <v>182</v>
      </c>
      <c r="D35" s="15" t="s">
        <v>727</v>
      </c>
      <c r="E35" s="15" t="s">
        <v>5016</v>
      </c>
      <c r="F35" s="15" t="s">
        <v>5017</v>
      </c>
      <c r="G35" s="15" t="s">
        <v>5018</v>
      </c>
      <c r="H35" s="15"/>
      <c r="I35" s="16" t="s">
        <v>44</v>
      </c>
      <c r="J35" s="17"/>
      <c r="K35" s="17"/>
    </row>
    <row r="36" customFormat="false" ht="44" hidden="false" customHeight="false" outlineLevel="0" collapsed="false">
      <c r="A36" s="14" t="s">
        <v>5019</v>
      </c>
      <c r="B36" s="15" t="s">
        <v>193</v>
      </c>
      <c r="C36" s="15" t="s">
        <v>182</v>
      </c>
      <c r="D36" s="15" t="s">
        <v>736</v>
      </c>
      <c r="E36" s="15" t="s">
        <v>5020</v>
      </c>
      <c r="F36" s="15" t="s">
        <v>5021</v>
      </c>
      <c r="G36" s="15" t="s">
        <v>5022</v>
      </c>
      <c r="H36" s="15" t="s">
        <v>5023</v>
      </c>
      <c r="I36" s="16" t="s">
        <v>44</v>
      </c>
      <c r="J36" s="17"/>
      <c r="K36" s="17"/>
    </row>
    <row r="37" customFormat="false" ht="37.3" hidden="false" customHeight="false" outlineLevel="0" collapsed="false">
      <c r="A37" s="14" t="s">
        <v>5024</v>
      </c>
      <c r="B37" s="15" t="s">
        <v>193</v>
      </c>
      <c r="C37" s="15" t="s">
        <v>182</v>
      </c>
      <c r="D37" s="15" t="s">
        <v>744</v>
      </c>
      <c r="E37" s="15" t="s">
        <v>5025</v>
      </c>
      <c r="F37" s="15" t="s">
        <v>5026</v>
      </c>
      <c r="G37" s="15" t="s">
        <v>5027</v>
      </c>
      <c r="H37" s="15" t="s">
        <v>4906</v>
      </c>
      <c r="I37" s="16" t="s">
        <v>44</v>
      </c>
      <c r="J37" s="17"/>
      <c r="K37" s="17"/>
    </row>
    <row r="38" customFormat="false" ht="44" hidden="false" customHeight="false" outlineLevel="0" collapsed="false">
      <c r="A38" s="14" t="s">
        <v>5028</v>
      </c>
      <c r="B38" s="15" t="s">
        <v>193</v>
      </c>
      <c r="C38" s="15" t="s">
        <v>170</v>
      </c>
      <c r="D38" s="15" t="s">
        <v>727</v>
      </c>
      <c r="E38" s="15" t="s">
        <v>5029</v>
      </c>
      <c r="F38" s="15" t="s">
        <v>5030</v>
      </c>
      <c r="G38" s="15" t="s">
        <v>5031</v>
      </c>
      <c r="H38" s="15"/>
      <c r="I38" s="16" t="s">
        <v>44</v>
      </c>
      <c r="J38" s="17"/>
      <c r="K38" s="17"/>
    </row>
    <row r="39" customFormat="false" ht="41.75" hidden="false" customHeight="false" outlineLevel="0" collapsed="false">
      <c r="A39" s="14" t="s">
        <v>5032</v>
      </c>
      <c r="B39" s="15" t="s">
        <v>193</v>
      </c>
      <c r="C39" s="15" t="s">
        <v>170</v>
      </c>
      <c r="D39" s="15" t="s">
        <v>736</v>
      </c>
      <c r="E39" s="15" t="s">
        <v>5033</v>
      </c>
      <c r="F39" s="15" t="s">
        <v>5034</v>
      </c>
      <c r="G39" s="15" t="s">
        <v>5035</v>
      </c>
      <c r="H39" s="15"/>
      <c r="I39" s="16" t="s">
        <v>44</v>
      </c>
      <c r="J39" s="17"/>
      <c r="K39" s="17"/>
    </row>
    <row r="40" customFormat="false" ht="44" hidden="false" customHeight="false" outlineLevel="0" collapsed="false">
      <c r="A40" s="14" t="s">
        <v>5036</v>
      </c>
      <c r="B40" s="15" t="s">
        <v>193</v>
      </c>
      <c r="C40" s="15" t="s">
        <v>170</v>
      </c>
      <c r="D40" s="15" t="s">
        <v>744</v>
      </c>
      <c r="E40" s="15" t="s">
        <v>5037</v>
      </c>
      <c r="F40" s="15" t="s">
        <v>5038</v>
      </c>
      <c r="G40" s="15" t="s">
        <v>5039</v>
      </c>
      <c r="H40" s="15"/>
      <c r="I40" s="16" t="s">
        <v>44</v>
      </c>
      <c r="J40" s="17"/>
      <c r="K40" s="17"/>
    </row>
    <row r="41" customFormat="false" ht="44" hidden="false" customHeight="false" outlineLevel="0" collapsed="false">
      <c r="A41" s="14" t="s">
        <v>5040</v>
      </c>
      <c r="B41" s="15" t="s">
        <v>193</v>
      </c>
      <c r="C41" s="15" t="s">
        <v>247</v>
      </c>
      <c r="D41" s="15" t="s">
        <v>727</v>
      </c>
      <c r="E41" s="15" t="s">
        <v>5041</v>
      </c>
      <c r="F41" s="15" t="s">
        <v>5042</v>
      </c>
      <c r="G41" s="15" t="s">
        <v>5043</v>
      </c>
      <c r="H41" s="15"/>
      <c r="I41" s="16" t="s">
        <v>44</v>
      </c>
      <c r="J41" s="17"/>
      <c r="K41" s="17"/>
    </row>
    <row r="42" customFormat="false" ht="37.3" hidden="false" customHeight="false" outlineLevel="0" collapsed="false">
      <c r="A42" s="14" t="s">
        <v>5044</v>
      </c>
      <c r="B42" s="15" t="s">
        <v>193</v>
      </c>
      <c r="C42" s="15" t="s">
        <v>247</v>
      </c>
      <c r="D42" s="15" t="s">
        <v>736</v>
      </c>
      <c r="E42" s="15" t="s">
        <v>5045</v>
      </c>
      <c r="F42" s="15" t="s">
        <v>5046</v>
      </c>
      <c r="G42" s="15" t="s">
        <v>5047</v>
      </c>
      <c r="H42" s="15"/>
      <c r="I42" s="16" t="s">
        <v>44</v>
      </c>
      <c r="J42" s="17"/>
      <c r="K42" s="17"/>
    </row>
    <row r="43" customFormat="false" ht="44" hidden="false" customHeight="false" outlineLevel="0" collapsed="false">
      <c r="A43" s="14" t="s">
        <v>5048</v>
      </c>
      <c r="B43" s="15" t="s">
        <v>193</v>
      </c>
      <c r="C43" s="15" t="s">
        <v>247</v>
      </c>
      <c r="D43" s="15" t="s">
        <v>744</v>
      </c>
      <c r="E43" s="15" t="s">
        <v>5049</v>
      </c>
      <c r="F43" s="15" t="s">
        <v>5050</v>
      </c>
      <c r="G43" s="15" t="s">
        <v>5051</v>
      </c>
      <c r="H43" s="15"/>
      <c r="I43" s="16" t="s">
        <v>44</v>
      </c>
      <c r="J43" s="17"/>
      <c r="K43" s="17"/>
    </row>
    <row r="44" customFormat="false" ht="44" hidden="false" customHeight="false" outlineLevel="0" collapsed="false">
      <c r="A44" s="14" t="s">
        <v>5052</v>
      </c>
      <c r="B44" s="15" t="s">
        <v>193</v>
      </c>
      <c r="C44" s="15" t="s">
        <v>256</v>
      </c>
      <c r="D44" s="15" t="s">
        <v>727</v>
      </c>
      <c r="E44" s="15" t="s">
        <v>5053</v>
      </c>
      <c r="F44" s="15" t="s">
        <v>5054</v>
      </c>
      <c r="G44" s="15" t="s">
        <v>5055</v>
      </c>
      <c r="H44" s="15"/>
      <c r="I44" s="16" t="s">
        <v>44</v>
      </c>
      <c r="J44" s="17"/>
      <c r="K44" s="17"/>
    </row>
    <row r="45" customFormat="false" ht="44" hidden="false" customHeight="false" outlineLevel="0" collapsed="false">
      <c r="A45" s="14" t="s">
        <v>5056</v>
      </c>
      <c r="B45" s="15" t="s">
        <v>193</v>
      </c>
      <c r="C45" s="15" t="s">
        <v>256</v>
      </c>
      <c r="D45" s="15" t="s">
        <v>736</v>
      </c>
      <c r="E45" s="15" t="s">
        <v>5057</v>
      </c>
      <c r="F45" s="15" t="s">
        <v>5058</v>
      </c>
      <c r="G45" s="15" t="s">
        <v>5059</v>
      </c>
      <c r="H45" s="15"/>
      <c r="I45" s="16" t="s">
        <v>44</v>
      </c>
      <c r="J45" s="17"/>
      <c r="K45" s="17"/>
    </row>
    <row r="46" customFormat="false" ht="44" hidden="false" customHeight="false" outlineLevel="0" collapsed="false">
      <c r="A46" s="14" t="s">
        <v>5060</v>
      </c>
      <c r="B46" s="15" t="s">
        <v>193</v>
      </c>
      <c r="C46" s="15" t="s">
        <v>256</v>
      </c>
      <c r="D46" s="15" t="s">
        <v>744</v>
      </c>
      <c r="E46" s="15" t="s">
        <v>5061</v>
      </c>
      <c r="F46" s="15" t="s">
        <v>5062</v>
      </c>
      <c r="G46" s="15" t="s">
        <v>5063</v>
      </c>
      <c r="H46" s="15"/>
      <c r="I46" s="16" t="s">
        <v>44</v>
      </c>
      <c r="J46" s="17"/>
      <c r="K46" s="17"/>
    </row>
    <row r="47" customFormat="false" ht="29.85" hidden="false" customHeight="false" outlineLevel="0" collapsed="false">
      <c r="A47" s="14" t="s">
        <v>5064</v>
      </c>
      <c r="B47" s="15" t="s">
        <v>182</v>
      </c>
      <c r="C47" s="15" t="s">
        <v>170</v>
      </c>
      <c r="D47" s="15" t="s">
        <v>727</v>
      </c>
      <c r="E47" s="15" t="s">
        <v>5065</v>
      </c>
      <c r="F47" s="15" t="s">
        <v>5066</v>
      </c>
      <c r="G47" s="15" t="s">
        <v>5067</v>
      </c>
      <c r="H47" s="15"/>
      <c r="I47" s="16" t="s">
        <v>44</v>
      </c>
      <c r="J47" s="17"/>
      <c r="K47" s="17"/>
    </row>
    <row r="48" customFormat="false" ht="44" hidden="false" customHeight="false" outlineLevel="0" collapsed="false">
      <c r="A48" s="14" t="s">
        <v>5068</v>
      </c>
      <c r="B48" s="15" t="s">
        <v>182</v>
      </c>
      <c r="C48" s="15" t="s">
        <v>170</v>
      </c>
      <c r="D48" s="15" t="s">
        <v>736</v>
      </c>
      <c r="E48" s="15" t="s">
        <v>5069</v>
      </c>
      <c r="F48" s="15" t="s">
        <v>5070</v>
      </c>
      <c r="G48" s="15" t="s">
        <v>5071</v>
      </c>
      <c r="H48" s="15"/>
      <c r="I48" s="16" t="s">
        <v>44</v>
      </c>
      <c r="J48" s="17"/>
      <c r="K48" s="17"/>
    </row>
    <row r="49" customFormat="false" ht="44" hidden="false" customHeight="false" outlineLevel="0" collapsed="false">
      <c r="A49" s="14" t="s">
        <v>5072</v>
      </c>
      <c r="B49" s="15" t="s">
        <v>182</v>
      </c>
      <c r="C49" s="15" t="s">
        <v>170</v>
      </c>
      <c r="D49" s="15" t="s">
        <v>744</v>
      </c>
      <c r="E49" s="15" t="s">
        <v>5073</v>
      </c>
      <c r="F49" s="15" t="s">
        <v>5074</v>
      </c>
      <c r="G49" s="15" t="s">
        <v>5075</v>
      </c>
      <c r="H49" s="15"/>
      <c r="I49" s="16" t="s">
        <v>44</v>
      </c>
      <c r="J49" s="17"/>
      <c r="K49" s="17"/>
    </row>
    <row r="50" customFormat="false" ht="44" hidden="false" customHeight="false" outlineLevel="0" collapsed="false">
      <c r="A50" s="14" t="s">
        <v>5076</v>
      </c>
      <c r="B50" s="15" t="s">
        <v>182</v>
      </c>
      <c r="C50" s="15" t="s">
        <v>247</v>
      </c>
      <c r="D50" s="15" t="s">
        <v>727</v>
      </c>
      <c r="E50" s="15" t="s">
        <v>5077</v>
      </c>
      <c r="F50" s="15" t="s">
        <v>5078</v>
      </c>
      <c r="G50" s="15" t="s">
        <v>5079</v>
      </c>
      <c r="H50" s="15"/>
      <c r="I50" s="16" t="s">
        <v>44</v>
      </c>
      <c r="J50" s="17"/>
      <c r="K50" s="17"/>
    </row>
    <row r="51" customFormat="false" ht="37.3" hidden="false" customHeight="false" outlineLevel="0" collapsed="false">
      <c r="A51" s="14" t="s">
        <v>5080</v>
      </c>
      <c r="B51" s="15" t="s">
        <v>182</v>
      </c>
      <c r="C51" s="15" t="s">
        <v>247</v>
      </c>
      <c r="D51" s="15" t="s">
        <v>736</v>
      </c>
      <c r="E51" s="15" t="s">
        <v>5081</v>
      </c>
      <c r="F51" s="15" t="s">
        <v>5082</v>
      </c>
      <c r="G51" s="15" t="s">
        <v>5083</v>
      </c>
      <c r="H51" s="15"/>
      <c r="I51" s="16" t="s">
        <v>44</v>
      </c>
      <c r="J51" s="17"/>
      <c r="K51" s="17"/>
    </row>
    <row r="52" customFormat="false" ht="37.3" hidden="false" customHeight="false" outlineLevel="0" collapsed="false">
      <c r="A52" s="14" t="s">
        <v>5084</v>
      </c>
      <c r="B52" s="15" t="s">
        <v>182</v>
      </c>
      <c r="C52" s="15" t="s">
        <v>247</v>
      </c>
      <c r="D52" s="15" t="s">
        <v>744</v>
      </c>
      <c r="E52" s="15" t="s">
        <v>5085</v>
      </c>
      <c r="F52" s="15" t="s">
        <v>5086</v>
      </c>
      <c r="G52" s="15" t="s">
        <v>5087</v>
      </c>
      <c r="H52" s="15"/>
      <c r="I52" s="16" t="s">
        <v>44</v>
      </c>
      <c r="J52" s="17"/>
      <c r="K52" s="17"/>
    </row>
    <row r="53" customFormat="false" ht="44" hidden="false" customHeight="false" outlineLevel="0" collapsed="false">
      <c r="A53" s="14" t="s">
        <v>5088</v>
      </c>
      <c r="B53" s="15" t="s">
        <v>182</v>
      </c>
      <c r="C53" s="15" t="s">
        <v>256</v>
      </c>
      <c r="D53" s="15" t="s">
        <v>727</v>
      </c>
      <c r="E53" s="15" t="s">
        <v>5089</v>
      </c>
      <c r="F53" s="15" t="s">
        <v>5090</v>
      </c>
      <c r="G53" s="15" t="s">
        <v>5091</v>
      </c>
      <c r="H53" s="15"/>
      <c r="I53" s="16" t="s">
        <v>44</v>
      </c>
      <c r="J53" s="17"/>
      <c r="K53" s="17"/>
    </row>
    <row r="54" customFormat="false" ht="37.3" hidden="false" customHeight="false" outlineLevel="0" collapsed="false">
      <c r="A54" s="14" t="s">
        <v>5092</v>
      </c>
      <c r="B54" s="15" t="s">
        <v>182</v>
      </c>
      <c r="C54" s="15" t="s">
        <v>256</v>
      </c>
      <c r="D54" s="15" t="s">
        <v>736</v>
      </c>
      <c r="E54" s="15" t="s">
        <v>5093</v>
      </c>
      <c r="F54" s="15" t="s">
        <v>5094</v>
      </c>
      <c r="G54" s="15" t="s">
        <v>5095</v>
      </c>
      <c r="H54" s="15"/>
      <c r="I54" s="16" t="s">
        <v>44</v>
      </c>
      <c r="J54" s="17"/>
      <c r="K54" s="17"/>
    </row>
    <row r="55" customFormat="false" ht="44" hidden="false" customHeight="false" outlineLevel="0" collapsed="false">
      <c r="A55" s="14" t="s">
        <v>5096</v>
      </c>
      <c r="B55" s="15" t="s">
        <v>182</v>
      </c>
      <c r="C55" s="15" t="s">
        <v>256</v>
      </c>
      <c r="D55" s="15" t="s">
        <v>744</v>
      </c>
      <c r="E55" s="15" t="s">
        <v>5097</v>
      </c>
      <c r="F55" s="15" t="s">
        <v>5098</v>
      </c>
      <c r="G55" s="15" t="s">
        <v>5099</v>
      </c>
      <c r="H55" s="15"/>
      <c r="I55" s="16" t="s">
        <v>44</v>
      </c>
      <c r="J55" s="17"/>
      <c r="K55" s="17"/>
    </row>
    <row r="56" customFormat="false" ht="44" hidden="false" customHeight="false" outlineLevel="0" collapsed="false">
      <c r="A56" s="14" t="s">
        <v>5100</v>
      </c>
      <c r="B56" s="15" t="s">
        <v>170</v>
      </c>
      <c r="C56" s="15" t="s">
        <v>247</v>
      </c>
      <c r="D56" s="15" t="s">
        <v>727</v>
      </c>
      <c r="E56" s="15" t="s">
        <v>5101</v>
      </c>
      <c r="F56" s="15" t="s">
        <v>5102</v>
      </c>
      <c r="G56" s="15" t="s">
        <v>5103</v>
      </c>
      <c r="H56" s="15"/>
      <c r="I56" s="16" t="s">
        <v>44</v>
      </c>
      <c r="J56" s="17"/>
      <c r="K56" s="17"/>
    </row>
    <row r="57" customFormat="false" ht="37.3" hidden="false" customHeight="false" outlineLevel="0" collapsed="false">
      <c r="A57" s="14" t="s">
        <v>5104</v>
      </c>
      <c r="B57" s="15" t="s">
        <v>170</v>
      </c>
      <c r="C57" s="15" t="s">
        <v>247</v>
      </c>
      <c r="D57" s="15" t="s">
        <v>736</v>
      </c>
      <c r="E57" s="15" t="s">
        <v>5105</v>
      </c>
      <c r="F57" s="15" t="s">
        <v>5106</v>
      </c>
      <c r="G57" s="15" t="s">
        <v>5107</v>
      </c>
      <c r="H57" s="15"/>
      <c r="I57" s="16" t="s">
        <v>44</v>
      </c>
      <c r="J57" s="17"/>
      <c r="K57" s="17"/>
    </row>
    <row r="58" customFormat="false" ht="37.3" hidden="false" customHeight="false" outlineLevel="0" collapsed="false">
      <c r="A58" s="14" t="s">
        <v>5108</v>
      </c>
      <c r="B58" s="15" t="s">
        <v>170</v>
      </c>
      <c r="C58" s="15" t="s">
        <v>247</v>
      </c>
      <c r="D58" s="15" t="s">
        <v>744</v>
      </c>
      <c r="E58" s="15" t="s">
        <v>5109</v>
      </c>
      <c r="F58" s="15" t="s">
        <v>5110</v>
      </c>
      <c r="G58" s="15" t="s">
        <v>5111</v>
      </c>
      <c r="H58" s="15"/>
      <c r="I58" s="16" t="s">
        <v>44</v>
      </c>
      <c r="J58" s="17"/>
      <c r="K58" s="17"/>
    </row>
    <row r="59" customFormat="false" ht="37.3" hidden="false" customHeight="false" outlineLevel="0" collapsed="false">
      <c r="A59" s="14" t="s">
        <v>5112</v>
      </c>
      <c r="B59" s="15" t="s">
        <v>170</v>
      </c>
      <c r="C59" s="15" t="s">
        <v>256</v>
      </c>
      <c r="D59" s="15" t="s">
        <v>727</v>
      </c>
      <c r="E59" s="15" t="s">
        <v>5113</v>
      </c>
      <c r="F59" s="15" t="s">
        <v>5114</v>
      </c>
      <c r="G59" s="15" t="s">
        <v>5115</v>
      </c>
      <c r="H59" s="15"/>
      <c r="I59" s="16" t="s">
        <v>44</v>
      </c>
      <c r="J59" s="17"/>
      <c r="K59" s="17"/>
    </row>
    <row r="60" customFormat="false" ht="37.3" hidden="false" customHeight="false" outlineLevel="0" collapsed="false">
      <c r="A60" s="14" t="s">
        <v>5116</v>
      </c>
      <c r="B60" s="15" t="s">
        <v>170</v>
      </c>
      <c r="C60" s="15" t="s">
        <v>256</v>
      </c>
      <c r="D60" s="15" t="s">
        <v>736</v>
      </c>
      <c r="E60" s="15" t="s">
        <v>5117</v>
      </c>
      <c r="F60" s="15" t="s">
        <v>5118</v>
      </c>
      <c r="G60" s="15" t="s">
        <v>5119</v>
      </c>
      <c r="H60" s="15"/>
      <c r="I60" s="16" t="s">
        <v>44</v>
      </c>
      <c r="J60" s="17"/>
      <c r="K60" s="17"/>
    </row>
    <row r="61" customFormat="false" ht="44" hidden="false" customHeight="false" outlineLevel="0" collapsed="false">
      <c r="A61" s="14" t="s">
        <v>5120</v>
      </c>
      <c r="B61" s="15" t="s">
        <v>170</v>
      </c>
      <c r="C61" s="15" t="s">
        <v>256</v>
      </c>
      <c r="D61" s="15" t="s">
        <v>744</v>
      </c>
      <c r="E61" s="15" t="s">
        <v>5121</v>
      </c>
      <c r="F61" s="15" t="s">
        <v>5122</v>
      </c>
      <c r="G61" s="15" t="s">
        <v>5123</v>
      </c>
      <c r="H61" s="15"/>
      <c r="I61" s="16" t="s">
        <v>44</v>
      </c>
      <c r="J61" s="17"/>
      <c r="K61" s="17"/>
    </row>
    <row r="62" customFormat="false" ht="37.3" hidden="false" customHeight="false" outlineLevel="0" collapsed="false">
      <c r="A62" s="14" t="s">
        <v>5124</v>
      </c>
      <c r="B62" s="15" t="s">
        <v>247</v>
      </c>
      <c r="C62" s="15" t="s">
        <v>256</v>
      </c>
      <c r="D62" s="15" t="s">
        <v>727</v>
      </c>
      <c r="E62" s="15" t="s">
        <v>5125</v>
      </c>
      <c r="F62" s="15" t="s">
        <v>5126</v>
      </c>
      <c r="G62" s="15" t="s">
        <v>5127</v>
      </c>
      <c r="H62" s="15" t="s">
        <v>5128</v>
      </c>
      <c r="I62" s="16" t="s">
        <v>44</v>
      </c>
      <c r="J62" s="17"/>
      <c r="K62" s="17"/>
    </row>
    <row r="63" customFormat="false" ht="37.3" hidden="false" customHeight="false" outlineLevel="0" collapsed="false">
      <c r="A63" s="14" t="s">
        <v>5129</v>
      </c>
      <c r="B63" s="15" t="s">
        <v>247</v>
      </c>
      <c r="C63" s="15" t="s">
        <v>256</v>
      </c>
      <c r="D63" s="15" t="s">
        <v>736</v>
      </c>
      <c r="E63" s="15" t="s">
        <v>5130</v>
      </c>
      <c r="F63" s="15" t="s">
        <v>5131</v>
      </c>
      <c r="G63" s="15" t="s">
        <v>5132</v>
      </c>
      <c r="H63" s="15" t="s">
        <v>5133</v>
      </c>
      <c r="I63" s="16" t="s">
        <v>44</v>
      </c>
      <c r="J63" s="17"/>
      <c r="K63" s="17"/>
    </row>
    <row r="64" customFormat="false" ht="44" hidden="false" customHeight="false" outlineLevel="0" collapsed="false">
      <c r="A64" s="14" t="s">
        <v>5134</v>
      </c>
      <c r="B64" s="15" t="s">
        <v>247</v>
      </c>
      <c r="C64" s="15" t="s">
        <v>256</v>
      </c>
      <c r="D64" s="15" t="s">
        <v>744</v>
      </c>
      <c r="E64" s="15" t="s">
        <v>5135</v>
      </c>
      <c r="F64" s="15" t="s">
        <v>5136</v>
      </c>
      <c r="G64" s="15" t="s">
        <v>5137</v>
      </c>
      <c r="H64" s="15" t="s">
        <v>5133</v>
      </c>
      <c r="I64" s="16" t="s">
        <v>44</v>
      </c>
      <c r="J64" s="17"/>
      <c r="K64" s="17"/>
    </row>
  </sheetData>
  <autoFilter ref="A1:K64"/>
  <dataValidations count="1">
    <dataValidation allowBlank="false" errorStyle="stop" operator="between" showDropDown="false" showErrorMessage="false" showInputMessage="false" sqref="I2:I64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148</v>
      </c>
      <c r="B1" s="13" t="s">
        <v>415</v>
      </c>
      <c r="C1" s="13" t="s">
        <v>416</v>
      </c>
      <c r="D1" s="13" t="s">
        <v>417</v>
      </c>
      <c r="E1" s="13" t="s">
        <v>5138</v>
      </c>
      <c r="F1" s="13" t="s">
        <v>159</v>
      </c>
      <c r="G1" s="13" t="s">
        <v>160</v>
      </c>
      <c r="H1" s="13" t="s">
        <v>161</v>
      </c>
      <c r="I1" s="13" t="s">
        <v>162</v>
      </c>
    </row>
    <row r="2" customFormat="false" ht="29.85" hidden="false" customHeight="false" outlineLevel="0" collapsed="false">
      <c r="A2" s="14" t="s">
        <v>427</v>
      </c>
      <c r="B2" s="15" t="s">
        <v>428</v>
      </c>
      <c r="C2" s="15" t="s">
        <v>429</v>
      </c>
      <c r="D2" s="15" t="s">
        <v>430</v>
      </c>
      <c r="E2" s="15" t="s">
        <v>5139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440</v>
      </c>
      <c r="B3" s="15" t="s">
        <v>441</v>
      </c>
      <c r="C3" s="15" t="s">
        <v>429</v>
      </c>
      <c r="D3" s="15" t="s">
        <v>442</v>
      </c>
      <c r="E3" s="15" t="s">
        <v>5140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452</v>
      </c>
      <c r="B4" s="15" t="s">
        <v>453</v>
      </c>
      <c r="C4" s="15" t="s">
        <v>429</v>
      </c>
      <c r="D4" s="15" t="s">
        <v>454</v>
      </c>
      <c r="E4" s="15" t="s">
        <v>5141</v>
      </c>
      <c r="F4" s="15" t="s">
        <v>5142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464</v>
      </c>
      <c r="B5" s="15" t="s">
        <v>465</v>
      </c>
      <c r="C5" s="15" t="s">
        <v>429</v>
      </c>
      <c r="D5" s="15" t="s">
        <v>466</v>
      </c>
      <c r="E5" s="15" t="s">
        <v>5143</v>
      </c>
      <c r="F5" s="15"/>
      <c r="G5" s="16" t="s">
        <v>44</v>
      </c>
      <c r="H5" s="17"/>
      <c r="I5" s="17"/>
    </row>
    <row r="6" customFormat="false" ht="37.3" hidden="false" customHeight="false" outlineLevel="0" collapsed="false">
      <c r="A6" s="14" t="s">
        <v>476</v>
      </c>
      <c r="B6" s="15" t="s">
        <v>477</v>
      </c>
      <c r="C6" s="15" t="s">
        <v>478</v>
      </c>
      <c r="D6" s="15" t="s">
        <v>430</v>
      </c>
      <c r="E6" s="15" t="s">
        <v>5144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488</v>
      </c>
      <c r="B7" s="15" t="s">
        <v>489</v>
      </c>
      <c r="C7" s="15" t="s">
        <v>478</v>
      </c>
      <c r="D7" s="15" t="s">
        <v>442</v>
      </c>
      <c r="E7" s="15" t="s">
        <v>5145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498</v>
      </c>
      <c r="B8" s="15" t="s">
        <v>499</v>
      </c>
      <c r="C8" s="15" t="s">
        <v>478</v>
      </c>
      <c r="D8" s="15" t="s">
        <v>454</v>
      </c>
      <c r="E8" s="15" t="s">
        <v>5146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508</v>
      </c>
      <c r="B9" s="15" t="s">
        <v>509</v>
      </c>
      <c r="C9" s="15" t="s">
        <v>478</v>
      </c>
      <c r="D9" s="15" t="s">
        <v>466</v>
      </c>
      <c r="E9" s="15" t="s">
        <v>5147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519</v>
      </c>
      <c r="B10" s="15" t="s">
        <v>520</v>
      </c>
      <c r="C10" s="15" t="s">
        <v>521</v>
      </c>
      <c r="D10" s="15" t="s">
        <v>430</v>
      </c>
      <c r="E10" s="15" t="s">
        <v>5148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531</v>
      </c>
      <c r="B11" s="15" t="s">
        <v>532</v>
      </c>
      <c r="C11" s="15" t="s">
        <v>521</v>
      </c>
      <c r="D11" s="15" t="s">
        <v>442</v>
      </c>
      <c r="E11" s="15" t="s">
        <v>5149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542</v>
      </c>
      <c r="B12" s="15" t="s">
        <v>543</v>
      </c>
      <c r="C12" s="15" t="s">
        <v>521</v>
      </c>
      <c r="D12" s="15" t="s">
        <v>454</v>
      </c>
      <c r="E12" s="15" t="s">
        <v>5150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552</v>
      </c>
      <c r="B13" s="15" t="s">
        <v>553</v>
      </c>
      <c r="C13" s="15" t="s">
        <v>521</v>
      </c>
      <c r="D13" s="15" t="s">
        <v>466</v>
      </c>
      <c r="E13" s="15" t="s">
        <v>5151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562</v>
      </c>
      <c r="B14" s="15" t="s">
        <v>563</v>
      </c>
      <c r="C14" s="15" t="s">
        <v>564</v>
      </c>
      <c r="D14" s="15" t="s">
        <v>430</v>
      </c>
      <c r="E14" s="15" t="s">
        <v>5152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573</v>
      </c>
      <c r="B15" s="15" t="s">
        <v>574</v>
      </c>
      <c r="C15" s="15" t="s">
        <v>564</v>
      </c>
      <c r="D15" s="15" t="s">
        <v>442</v>
      </c>
      <c r="E15" s="15" t="s">
        <v>5153</v>
      </c>
      <c r="F15" s="15"/>
      <c r="G15" s="16" t="s">
        <v>44</v>
      </c>
      <c r="H15" s="17"/>
      <c r="I15" s="17"/>
    </row>
    <row r="16" customFormat="false" ht="37.3" hidden="false" customHeight="false" outlineLevel="0" collapsed="false">
      <c r="A16" s="14" t="s">
        <v>583</v>
      </c>
      <c r="B16" s="15" t="s">
        <v>584</v>
      </c>
      <c r="C16" s="15" t="s">
        <v>564</v>
      </c>
      <c r="D16" s="15" t="s">
        <v>454</v>
      </c>
      <c r="E16" s="15" t="s">
        <v>5154</v>
      </c>
      <c r="F16" s="15" t="s">
        <v>5155</v>
      </c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594</v>
      </c>
      <c r="B17" s="15" t="s">
        <v>595</v>
      </c>
      <c r="C17" s="15" t="s">
        <v>564</v>
      </c>
      <c r="D17" s="15" t="s">
        <v>466</v>
      </c>
      <c r="E17" s="15" t="s">
        <v>5156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604</v>
      </c>
      <c r="B18" s="15" t="s">
        <v>605</v>
      </c>
      <c r="C18" s="15" t="s">
        <v>606</v>
      </c>
      <c r="D18" s="15" t="s">
        <v>430</v>
      </c>
      <c r="E18" s="15" t="s">
        <v>5157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615</v>
      </c>
      <c r="B19" s="15" t="s">
        <v>616</v>
      </c>
      <c r="C19" s="15" t="s">
        <v>606</v>
      </c>
      <c r="D19" s="15" t="s">
        <v>442</v>
      </c>
      <c r="E19" s="15" t="s">
        <v>5158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626</v>
      </c>
      <c r="B20" s="15" t="s">
        <v>627</v>
      </c>
      <c r="C20" s="15" t="s">
        <v>606</v>
      </c>
      <c r="D20" s="15" t="s">
        <v>454</v>
      </c>
      <c r="E20" s="15" t="s">
        <v>5159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637</v>
      </c>
      <c r="B21" s="15" t="s">
        <v>638</v>
      </c>
      <c r="C21" s="15" t="s">
        <v>606</v>
      </c>
      <c r="D21" s="15" t="s">
        <v>466</v>
      </c>
      <c r="E21" s="15" t="s">
        <v>5160</v>
      </c>
      <c r="F21" s="15"/>
      <c r="G21" s="16" t="s">
        <v>44</v>
      </c>
      <c r="H21" s="17"/>
      <c r="I21" s="17"/>
    </row>
  </sheetData>
  <autoFilter ref="A1:I21"/>
  <dataValidations count="1">
    <dataValidation allowBlank="false" errorStyle="stop" operator="between" showDropDown="false" showErrorMessage="false" showInputMessage="false" sqref="G2:G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148</v>
      </c>
      <c r="B1" s="13" t="s">
        <v>415</v>
      </c>
      <c r="C1" s="13" t="s">
        <v>5161</v>
      </c>
      <c r="D1" s="13" t="s">
        <v>5162</v>
      </c>
      <c r="E1" s="13" t="s">
        <v>159</v>
      </c>
      <c r="F1" s="13" t="s">
        <v>160</v>
      </c>
      <c r="G1" s="13" t="s">
        <v>161</v>
      </c>
      <c r="H1" s="13" t="s">
        <v>162</v>
      </c>
    </row>
    <row r="2" customFormat="false" ht="44" hidden="false" customHeight="false" outlineLevel="0" collapsed="false">
      <c r="A2" s="14" t="s">
        <v>427</v>
      </c>
      <c r="B2" s="15" t="s">
        <v>428</v>
      </c>
      <c r="C2" s="15" t="s">
        <v>5163</v>
      </c>
      <c r="D2" s="15" t="s">
        <v>5164</v>
      </c>
      <c r="E2" s="15" t="s">
        <v>5165</v>
      </c>
      <c r="F2" s="16" t="s">
        <v>44</v>
      </c>
      <c r="G2" s="17"/>
      <c r="H2" s="17"/>
    </row>
    <row r="3" customFormat="false" ht="44" hidden="false" customHeight="false" outlineLevel="0" collapsed="false">
      <c r="A3" s="14" t="s">
        <v>440</v>
      </c>
      <c r="B3" s="15" t="s">
        <v>441</v>
      </c>
      <c r="C3" s="15" t="s">
        <v>5166</v>
      </c>
      <c r="D3" s="15" t="s">
        <v>5167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452</v>
      </c>
      <c r="B4" s="15" t="s">
        <v>453</v>
      </c>
      <c r="C4" s="15" t="s">
        <v>5168</v>
      </c>
      <c r="D4" s="15" t="s">
        <v>5169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464</v>
      </c>
      <c r="B5" s="15" t="s">
        <v>465</v>
      </c>
      <c r="C5" s="15" t="s">
        <v>5170</v>
      </c>
      <c r="D5" s="15" t="s">
        <v>5171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476</v>
      </c>
      <c r="B6" s="15" t="s">
        <v>477</v>
      </c>
      <c r="C6" s="15" t="s">
        <v>5172</v>
      </c>
      <c r="D6" s="15" t="s">
        <v>5173</v>
      </c>
      <c r="E6" s="15"/>
      <c r="F6" s="16" t="s">
        <v>44</v>
      </c>
      <c r="G6" s="17"/>
      <c r="H6" s="17"/>
    </row>
    <row r="7" customFormat="false" ht="44" hidden="false" customHeight="false" outlineLevel="0" collapsed="false">
      <c r="A7" s="14" t="s">
        <v>488</v>
      </c>
      <c r="B7" s="15" t="s">
        <v>489</v>
      </c>
      <c r="C7" s="15" t="s">
        <v>5174</v>
      </c>
      <c r="D7" s="15" t="s">
        <v>5175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498</v>
      </c>
      <c r="B8" s="15" t="s">
        <v>499</v>
      </c>
      <c r="C8" s="15" t="s">
        <v>5176</v>
      </c>
      <c r="D8" s="15" t="s">
        <v>5177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508</v>
      </c>
      <c r="B9" s="15" t="s">
        <v>509</v>
      </c>
      <c r="C9" s="15" t="s">
        <v>5178</v>
      </c>
      <c r="D9" s="15" t="s">
        <v>5179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519</v>
      </c>
      <c r="B10" s="15" t="s">
        <v>520</v>
      </c>
      <c r="C10" s="15" t="s">
        <v>5180</v>
      </c>
      <c r="D10" s="15" t="s">
        <v>5181</v>
      </c>
      <c r="E10" s="15"/>
      <c r="F10" s="16" t="s">
        <v>44</v>
      </c>
      <c r="G10" s="17"/>
      <c r="H10" s="17"/>
    </row>
    <row r="11" customFormat="false" ht="44" hidden="false" customHeight="false" outlineLevel="0" collapsed="false">
      <c r="A11" s="14" t="s">
        <v>531</v>
      </c>
      <c r="B11" s="15" t="s">
        <v>532</v>
      </c>
      <c r="C11" s="15" t="s">
        <v>5182</v>
      </c>
      <c r="D11" s="15" t="s">
        <v>5183</v>
      </c>
      <c r="E11" s="15"/>
      <c r="F11" s="16" t="s">
        <v>44</v>
      </c>
      <c r="G11" s="17"/>
      <c r="H11" s="17"/>
    </row>
    <row r="12" customFormat="false" ht="44" hidden="false" customHeight="false" outlineLevel="0" collapsed="false">
      <c r="A12" s="14" t="s">
        <v>542</v>
      </c>
      <c r="B12" s="15" t="s">
        <v>543</v>
      </c>
      <c r="C12" s="15" t="s">
        <v>5184</v>
      </c>
      <c r="D12" s="15" t="s">
        <v>5185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552</v>
      </c>
      <c r="B13" s="15" t="s">
        <v>553</v>
      </c>
      <c r="C13" s="15" t="s">
        <v>5186</v>
      </c>
      <c r="D13" s="15" t="s">
        <v>5187</v>
      </c>
      <c r="E13" s="15"/>
      <c r="F13" s="16" t="s">
        <v>44</v>
      </c>
      <c r="G13" s="17"/>
      <c r="H13" s="17"/>
    </row>
    <row r="14" customFormat="false" ht="44" hidden="false" customHeight="false" outlineLevel="0" collapsed="false">
      <c r="A14" s="14" t="s">
        <v>562</v>
      </c>
      <c r="B14" s="15" t="s">
        <v>563</v>
      </c>
      <c r="C14" s="15" t="s">
        <v>5188</v>
      </c>
      <c r="D14" s="15" t="s">
        <v>5189</v>
      </c>
      <c r="E14" s="15"/>
      <c r="F14" s="16" t="s">
        <v>44</v>
      </c>
      <c r="G14" s="17"/>
      <c r="H14" s="17"/>
    </row>
    <row r="15" customFormat="false" ht="44" hidden="false" customHeight="false" outlineLevel="0" collapsed="false">
      <c r="A15" s="14" t="s">
        <v>573</v>
      </c>
      <c r="B15" s="15" t="s">
        <v>574</v>
      </c>
      <c r="C15" s="15" t="s">
        <v>5190</v>
      </c>
      <c r="D15" s="15" t="s">
        <v>5191</v>
      </c>
      <c r="E15" s="15"/>
      <c r="F15" s="16" t="s">
        <v>44</v>
      </c>
      <c r="G15" s="17"/>
      <c r="H15" s="17"/>
    </row>
    <row r="16" customFormat="false" ht="44" hidden="false" customHeight="false" outlineLevel="0" collapsed="false">
      <c r="A16" s="14" t="s">
        <v>583</v>
      </c>
      <c r="B16" s="15" t="s">
        <v>584</v>
      </c>
      <c r="C16" s="15" t="s">
        <v>5192</v>
      </c>
      <c r="D16" s="15" t="s">
        <v>5193</v>
      </c>
      <c r="E16" s="15"/>
      <c r="F16" s="16" t="s">
        <v>44</v>
      </c>
      <c r="G16" s="17"/>
      <c r="H16" s="17"/>
    </row>
    <row r="17" customFormat="false" ht="44" hidden="false" customHeight="false" outlineLevel="0" collapsed="false">
      <c r="A17" s="14" t="s">
        <v>594</v>
      </c>
      <c r="B17" s="15" t="s">
        <v>595</v>
      </c>
      <c r="C17" s="15" t="s">
        <v>5194</v>
      </c>
      <c r="D17" s="15" t="s">
        <v>5195</v>
      </c>
      <c r="E17" s="15"/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604</v>
      </c>
      <c r="B18" s="15" t="s">
        <v>605</v>
      </c>
      <c r="C18" s="15" t="s">
        <v>5196</v>
      </c>
      <c r="D18" s="15" t="s">
        <v>5197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615</v>
      </c>
      <c r="B19" s="15" t="s">
        <v>616</v>
      </c>
      <c r="C19" s="15" t="s">
        <v>5198</v>
      </c>
      <c r="D19" s="15" t="s">
        <v>5199</v>
      </c>
      <c r="E19" s="15"/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626</v>
      </c>
      <c r="B20" s="15" t="s">
        <v>627</v>
      </c>
      <c r="C20" s="15" t="s">
        <v>5200</v>
      </c>
      <c r="D20" s="15" t="s">
        <v>5201</v>
      </c>
      <c r="E20" s="15"/>
      <c r="F20" s="16" t="s">
        <v>44</v>
      </c>
      <c r="G20" s="17"/>
      <c r="H20" s="17"/>
    </row>
    <row r="21" customFormat="false" ht="44" hidden="false" customHeight="false" outlineLevel="0" collapsed="false">
      <c r="A21" s="14" t="s">
        <v>637</v>
      </c>
      <c r="B21" s="15" t="s">
        <v>638</v>
      </c>
      <c r="C21" s="15" t="s">
        <v>5202</v>
      </c>
      <c r="D21" s="15" t="s">
        <v>5203</v>
      </c>
      <c r="E21" s="15"/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8.8"/>
    <col collapsed="false" customWidth="true" hidden="false" outlineLevel="0" max="6" min="5" style="0" width="55"/>
    <col collapsed="false" customWidth="true" hidden="false" outlineLevel="0" max="7" min="7" style="0" width="34.1"/>
    <col collapsed="false" customWidth="true" hidden="false" outlineLevel="0" max="8" min="8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58.2" hidden="false" customHeight="false" outlineLevel="0" collapsed="false">
      <c r="A1" s="12" t="s">
        <v>148</v>
      </c>
      <c r="B1" s="13" t="s">
        <v>2911</v>
      </c>
      <c r="C1" s="13" t="s">
        <v>5204</v>
      </c>
      <c r="D1" s="13" t="s">
        <v>5205</v>
      </c>
      <c r="E1" s="13" t="s">
        <v>5206</v>
      </c>
      <c r="F1" s="13" t="s">
        <v>5207</v>
      </c>
      <c r="G1" s="13" t="s">
        <v>5208</v>
      </c>
      <c r="H1" s="13" t="s">
        <v>159</v>
      </c>
      <c r="I1" s="13" t="s">
        <v>160</v>
      </c>
      <c r="J1" s="13" t="s">
        <v>161</v>
      </c>
      <c r="K1" s="13" t="s">
        <v>162</v>
      </c>
    </row>
    <row r="2" customFormat="false" ht="44" hidden="false" customHeight="false" outlineLevel="0" collapsed="false">
      <c r="A2" s="14" t="s">
        <v>5209</v>
      </c>
      <c r="B2" s="15" t="s">
        <v>2932</v>
      </c>
      <c r="C2" s="14" t="s">
        <v>5210</v>
      </c>
      <c r="D2" s="15" t="s">
        <v>5211</v>
      </c>
      <c r="E2" s="15" t="s">
        <v>5212</v>
      </c>
      <c r="F2" s="15" t="s">
        <v>5213</v>
      </c>
      <c r="G2" s="15" t="s">
        <v>5214</v>
      </c>
      <c r="H2" s="14" t="s">
        <v>5215</v>
      </c>
      <c r="I2" s="16" t="s">
        <v>44</v>
      </c>
      <c r="J2" s="17"/>
      <c r="K2" s="17"/>
    </row>
    <row r="3" customFormat="false" ht="44" hidden="false" customHeight="false" outlineLevel="0" collapsed="false">
      <c r="A3" s="14" t="s">
        <v>5216</v>
      </c>
      <c r="B3" s="15" t="s">
        <v>2952</v>
      </c>
      <c r="C3" s="14" t="s">
        <v>5217</v>
      </c>
      <c r="D3" s="15" t="s">
        <v>5218</v>
      </c>
      <c r="E3" s="15" t="s">
        <v>5219</v>
      </c>
      <c r="F3" s="15" t="s">
        <v>5220</v>
      </c>
      <c r="G3" s="15" t="s">
        <v>5221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5222</v>
      </c>
      <c r="B4" s="15" t="s">
        <v>2971</v>
      </c>
      <c r="C4" s="14" t="s">
        <v>5223</v>
      </c>
      <c r="D4" s="15" t="s">
        <v>5224</v>
      </c>
      <c r="E4" s="15" t="s">
        <v>5225</v>
      </c>
      <c r="F4" s="15" t="s">
        <v>5226</v>
      </c>
      <c r="G4" s="15" t="s">
        <v>5227</v>
      </c>
      <c r="H4" s="14" t="s">
        <v>5228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5229</v>
      </c>
      <c r="B5" s="15" t="s">
        <v>2991</v>
      </c>
      <c r="C5" s="14" t="s">
        <v>1526</v>
      </c>
      <c r="D5" s="15" t="s">
        <v>203</v>
      </c>
      <c r="E5" s="15" t="s">
        <v>5230</v>
      </c>
      <c r="F5" s="15" t="s">
        <v>5231</v>
      </c>
      <c r="G5" s="15" t="s">
        <v>5232</v>
      </c>
      <c r="H5" s="14" t="s">
        <v>5233</v>
      </c>
      <c r="I5" s="16" t="s">
        <v>44</v>
      </c>
      <c r="J5" s="17"/>
      <c r="K5" s="17"/>
    </row>
    <row r="6" customFormat="false" ht="44" hidden="false" customHeight="false" outlineLevel="0" collapsed="false">
      <c r="A6" s="14" t="s">
        <v>5234</v>
      </c>
      <c r="B6" s="15" t="s">
        <v>3010</v>
      </c>
      <c r="C6" s="14" t="s">
        <v>5235</v>
      </c>
      <c r="D6" s="15" t="s">
        <v>5236</v>
      </c>
      <c r="E6" s="15" t="s">
        <v>5237</v>
      </c>
      <c r="F6" s="15" t="s">
        <v>5238</v>
      </c>
      <c r="G6" s="15" t="s">
        <v>5239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5240</v>
      </c>
      <c r="B7" s="15" t="s">
        <v>3029</v>
      </c>
      <c r="C7" s="14" t="s">
        <v>5241</v>
      </c>
      <c r="D7" s="15" t="s">
        <v>5242</v>
      </c>
      <c r="E7" s="15" t="s">
        <v>5243</v>
      </c>
      <c r="F7" s="15" t="s">
        <v>5244</v>
      </c>
      <c r="G7" s="15" t="s">
        <v>5245</v>
      </c>
      <c r="H7" s="15" t="s">
        <v>5246</v>
      </c>
      <c r="I7" s="16" t="s">
        <v>44</v>
      </c>
      <c r="J7" s="17"/>
      <c r="K7" s="17"/>
    </row>
  </sheetData>
  <autoFilter ref="A1:K7"/>
  <dataValidations count="1">
    <dataValidation allowBlank="false" errorStyle="stop" operator="between" showDropDown="false" showErrorMessage="false" showInputMessage="false" sqref="I2:I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7" min="5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148</v>
      </c>
      <c r="B1" s="13" t="s">
        <v>1048</v>
      </c>
      <c r="C1" s="13" t="s">
        <v>5247</v>
      </c>
      <c r="D1" s="13" t="s">
        <v>5248</v>
      </c>
      <c r="E1" s="13" t="s">
        <v>5249</v>
      </c>
      <c r="F1" s="13" t="s">
        <v>5250</v>
      </c>
      <c r="G1" s="13" t="s">
        <v>159</v>
      </c>
      <c r="H1" s="13" t="s">
        <v>160</v>
      </c>
      <c r="I1" s="13" t="s">
        <v>161</v>
      </c>
      <c r="J1" s="13" t="s">
        <v>162</v>
      </c>
    </row>
    <row r="2" customFormat="false" ht="44" hidden="false" customHeight="false" outlineLevel="0" collapsed="false">
      <c r="A2" s="14" t="s">
        <v>5251</v>
      </c>
      <c r="B2" s="15" t="s">
        <v>5252</v>
      </c>
      <c r="C2" s="15" t="s">
        <v>169</v>
      </c>
      <c r="D2" s="15" t="s">
        <v>5253</v>
      </c>
      <c r="E2" s="15" t="s">
        <v>5254</v>
      </c>
      <c r="F2" s="15" t="s">
        <v>5255</v>
      </c>
      <c r="G2" s="15" t="s">
        <v>5256</v>
      </c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5257</v>
      </c>
      <c r="B3" s="15" t="s">
        <v>5252</v>
      </c>
      <c r="C3" s="15" t="s">
        <v>169</v>
      </c>
      <c r="D3" s="15" t="s">
        <v>5258</v>
      </c>
      <c r="E3" s="15" t="s">
        <v>5259</v>
      </c>
      <c r="F3" s="15" t="s">
        <v>5255</v>
      </c>
      <c r="G3" s="15" t="s">
        <v>5260</v>
      </c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5261</v>
      </c>
      <c r="B4" s="15" t="s">
        <v>5252</v>
      </c>
      <c r="C4" s="15" t="s">
        <v>181</v>
      </c>
      <c r="D4" s="15" t="s">
        <v>5253</v>
      </c>
      <c r="E4" s="15" t="s">
        <v>5262</v>
      </c>
      <c r="F4" s="15" t="s">
        <v>5255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5263</v>
      </c>
      <c r="B5" s="15" t="s">
        <v>5252</v>
      </c>
      <c r="C5" s="15" t="s">
        <v>181</v>
      </c>
      <c r="D5" s="15" t="s">
        <v>5258</v>
      </c>
      <c r="E5" s="15" t="s">
        <v>5264</v>
      </c>
      <c r="F5" s="15" t="s">
        <v>5255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5265</v>
      </c>
      <c r="B6" s="15" t="s">
        <v>5252</v>
      </c>
      <c r="C6" s="15" t="s">
        <v>192</v>
      </c>
      <c r="D6" s="15" t="s">
        <v>5253</v>
      </c>
      <c r="E6" s="15" t="s">
        <v>5266</v>
      </c>
      <c r="F6" s="15" t="s">
        <v>5255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5267</v>
      </c>
      <c r="B7" s="15" t="s">
        <v>5252</v>
      </c>
      <c r="C7" s="15" t="s">
        <v>192</v>
      </c>
      <c r="D7" s="15" t="s">
        <v>5258</v>
      </c>
      <c r="E7" s="15" t="s">
        <v>5268</v>
      </c>
      <c r="F7" s="15" t="s">
        <v>5255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5269</v>
      </c>
      <c r="B8" s="15" t="s">
        <v>5270</v>
      </c>
      <c r="C8" s="15" t="s">
        <v>169</v>
      </c>
      <c r="D8" s="15" t="s">
        <v>5253</v>
      </c>
      <c r="E8" s="15" t="s">
        <v>5271</v>
      </c>
      <c r="F8" s="15" t="s">
        <v>5272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5273</v>
      </c>
      <c r="B9" s="15" t="s">
        <v>5270</v>
      </c>
      <c r="C9" s="15" t="s">
        <v>169</v>
      </c>
      <c r="D9" s="15" t="s">
        <v>5258</v>
      </c>
      <c r="E9" s="15" t="s">
        <v>5274</v>
      </c>
      <c r="F9" s="15" t="s">
        <v>5272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5275</v>
      </c>
      <c r="B10" s="15" t="s">
        <v>5270</v>
      </c>
      <c r="C10" s="15" t="s">
        <v>181</v>
      </c>
      <c r="D10" s="15" t="s">
        <v>5253</v>
      </c>
      <c r="E10" s="15" t="s">
        <v>5276</v>
      </c>
      <c r="F10" s="15" t="s">
        <v>5272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5277</v>
      </c>
      <c r="B11" s="15" t="s">
        <v>5270</v>
      </c>
      <c r="C11" s="15" t="s">
        <v>181</v>
      </c>
      <c r="D11" s="15" t="s">
        <v>5258</v>
      </c>
      <c r="E11" s="15" t="s">
        <v>5278</v>
      </c>
      <c r="F11" s="15" t="s">
        <v>5272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5279</v>
      </c>
      <c r="B12" s="15" t="s">
        <v>5270</v>
      </c>
      <c r="C12" s="15" t="s">
        <v>192</v>
      </c>
      <c r="D12" s="15" t="s">
        <v>5253</v>
      </c>
      <c r="E12" s="15" t="s">
        <v>5280</v>
      </c>
      <c r="F12" s="15" t="s">
        <v>5272</v>
      </c>
      <c r="G12" s="15"/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5281</v>
      </c>
      <c r="B13" s="15" t="s">
        <v>5270</v>
      </c>
      <c r="C13" s="15" t="s">
        <v>192</v>
      </c>
      <c r="D13" s="15" t="s">
        <v>5258</v>
      </c>
      <c r="E13" s="15" t="s">
        <v>5282</v>
      </c>
      <c r="F13" s="15" t="s">
        <v>5272</v>
      </c>
      <c r="G13" s="15"/>
      <c r="H13" s="16" t="s">
        <v>44</v>
      </c>
      <c r="I13" s="17"/>
      <c r="J13" s="17"/>
    </row>
  </sheetData>
  <autoFilter ref="A1:J13"/>
  <dataValidations count="1">
    <dataValidation allowBlank="false" errorStyle="stop" operator="between" showDropDown="false" showErrorMessage="false" showInputMessage="false" sqref="H2:H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3"/>
    <col collapsed="false" customWidth="true" hidden="false" outlineLevel="0" max="3" min="3" style="0" width="31.9"/>
    <col collapsed="false" customWidth="true" hidden="false" outlineLevel="0" max="4" min="4" style="0" width="14.3"/>
    <col collapsed="false" customWidth="true" hidden="false" outlineLevel="0" max="6" min="5" style="0" width="55"/>
    <col collapsed="false" customWidth="true" hidden="false" outlineLevel="0" max="7" min="7" style="0" width="35.2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148</v>
      </c>
      <c r="B1" s="13" t="s">
        <v>5283</v>
      </c>
      <c r="C1" s="13" t="s">
        <v>5284</v>
      </c>
      <c r="D1" s="13" t="s">
        <v>5285</v>
      </c>
      <c r="E1" s="13" t="s">
        <v>5286</v>
      </c>
      <c r="F1" s="13" t="s">
        <v>5287</v>
      </c>
      <c r="G1" s="13" t="s">
        <v>2027</v>
      </c>
      <c r="H1" s="13" t="s">
        <v>160</v>
      </c>
      <c r="I1" s="13" t="s">
        <v>161</v>
      </c>
      <c r="J1" s="13" t="s">
        <v>162</v>
      </c>
    </row>
    <row r="2" customFormat="false" ht="44" hidden="false" customHeight="false" outlineLevel="0" collapsed="false">
      <c r="A2" s="14" t="s">
        <v>5288</v>
      </c>
      <c r="B2" s="15" t="s">
        <v>5289</v>
      </c>
      <c r="C2" s="15" t="s">
        <v>5290</v>
      </c>
      <c r="D2" s="15" t="s">
        <v>5289</v>
      </c>
      <c r="E2" s="15" t="s">
        <v>5291</v>
      </c>
      <c r="F2" s="15" t="s">
        <v>5292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5293</v>
      </c>
      <c r="B3" s="15" t="s">
        <v>5289</v>
      </c>
      <c r="C3" s="15" t="s">
        <v>5294</v>
      </c>
      <c r="D3" s="15" t="s">
        <v>5289</v>
      </c>
      <c r="E3" s="15" t="s">
        <v>5295</v>
      </c>
      <c r="F3" s="15" t="s">
        <v>5296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5297</v>
      </c>
      <c r="B4" s="15" t="s">
        <v>5298</v>
      </c>
      <c r="C4" s="15" t="s">
        <v>5299</v>
      </c>
      <c r="D4" s="15" t="s">
        <v>5300</v>
      </c>
      <c r="E4" s="15" t="s">
        <v>5301</v>
      </c>
      <c r="F4" s="15" t="s">
        <v>5302</v>
      </c>
      <c r="G4" s="15" t="s">
        <v>5303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5304</v>
      </c>
      <c r="B5" s="15" t="s">
        <v>5305</v>
      </c>
      <c r="C5" s="15" t="s">
        <v>5306</v>
      </c>
      <c r="D5" s="15" t="s">
        <v>5307</v>
      </c>
      <c r="E5" s="15" t="s">
        <v>5308</v>
      </c>
      <c r="F5" s="15" t="s">
        <v>5309</v>
      </c>
      <c r="G5" s="15" t="s">
        <v>5310</v>
      </c>
      <c r="H5" s="16" t="s">
        <v>44</v>
      </c>
      <c r="I5" s="17"/>
      <c r="J5" s="17"/>
    </row>
  </sheetData>
  <autoFilter ref="A1:J5"/>
  <dataValidations count="1">
    <dataValidation allowBlank="false" errorStyle="stop" operator="between" showDropDown="false" showErrorMessage="false" showInputMessage="false" sqref="H2:H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"/>
    <col collapsed="false" customWidth="true" hidden="false" outlineLevel="0" max="3" min="3" style="0" width="55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29.85" hidden="false" customHeight="false" outlineLevel="0" collapsed="false">
      <c r="A1" s="12" t="s">
        <v>148</v>
      </c>
      <c r="B1" s="13" t="s">
        <v>5311</v>
      </c>
      <c r="C1" s="13" t="s">
        <v>5312</v>
      </c>
      <c r="D1" s="13" t="s">
        <v>5313</v>
      </c>
      <c r="E1" s="13" t="s">
        <v>2027</v>
      </c>
      <c r="F1" s="13" t="s">
        <v>160</v>
      </c>
      <c r="G1" s="13" t="s">
        <v>161</v>
      </c>
      <c r="H1" s="13" t="s">
        <v>162</v>
      </c>
    </row>
    <row r="2" customFormat="false" ht="15" hidden="false" customHeight="false" outlineLevel="0" collapsed="false">
      <c r="A2" s="14" t="s">
        <v>5314</v>
      </c>
      <c r="B2" s="15" t="s">
        <v>5315</v>
      </c>
      <c r="C2" s="14" t="s">
        <v>5316</v>
      </c>
      <c r="D2" s="14" t="s">
        <v>5317</v>
      </c>
      <c r="E2" s="15"/>
      <c r="F2" s="16" t="s">
        <v>44</v>
      </c>
      <c r="G2" s="17"/>
      <c r="H2" s="17"/>
    </row>
    <row r="3" customFormat="false" ht="15" hidden="false" customHeight="false" outlineLevel="0" collapsed="false">
      <c r="A3" s="14" t="s">
        <v>5318</v>
      </c>
      <c r="B3" s="14" t="s">
        <v>5319</v>
      </c>
      <c r="C3" s="14" t="s">
        <v>5320</v>
      </c>
      <c r="D3" s="15"/>
      <c r="E3" s="15"/>
      <c r="F3" s="16" t="s">
        <v>44</v>
      </c>
      <c r="G3" s="17"/>
      <c r="H3" s="17"/>
    </row>
    <row r="4" customFormat="false" ht="29.85" hidden="false" customHeight="false" outlineLevel="0" collapsed="false">
      <c r="A4" s="14" t="s">
        <v>5321</v>
      </c>
      <c r="B4" s="15" t="s">
        <v>5322</v>
      </c>
      <c r="C4" s="14" t="s">
        <v>5323</v>
      </c>
      <c r="D4" s="14" t="s">
        <v>5324</v>
      </c>
      <c r="E4" s="15"/>
      <c r="F4" s="16" t="s">
        <v>44</v>
      </c>
      <c r="G4" s="17"/>
      <c r="H4" s="17"/>
    </row>
    <row r="5" customFormat="false" ht="15" hidden="false" customHeight="false" outlineLevel="0" collapsed="false">
      <c r="A5" s="14" t="s">
        <v>5325</v>
      </c>
      <c r="B5" s="14" t="s">
        <v>1954</v>
      </c>
      <c r="C5" s="14" t="s">
        <v>5326</v>
      </c>
      <c r="D5" s="14" t="s">
        <v>5327</v>
      </c>
      <c r="E5" s="15"/>
      <c r="F5" s="16" t="s">
        <v>44</v>
      </c>
      <c r="G5" s="17"/>
      <c r="H5" s="17"/>
    </row>
    <row r="6" customFormat="false" ht="27.6" hidden="false" customHeight="false" outlineLevel="0" collapsed="false">
      <c r="A6" s="14" t="s">
        <v>5328</v>
      </c>
      <c r="B6" s="15" t="s">
        <v>5329</v>
      </c>
      <c r="C6" s="14" t="s">
        <v>5330</v>
      </c>
      <c r="D6" s="15"/>
      <c r="E6" s="15"/>
      <c r="F6" s="16" t="s">
        <v>44</v>
      </c>
      <c r="G6" s="17"/>
      <c r="H6" s="17"/>
    </row>
    <row r="7" customFormat="false" ht="29.85" hidden="false" customHeight="false" outlineLevel="0" collapsed="false">
      <c r="A7" s="14" t="s">
        <v>5331</v>
      </c>
      <c r="B7" s="15" t="s">
        <v>5332</v>
      </c>
      <c r="C7" s="15" t="s">
        <v>5333</v>
      </c>
      <c r="D7" s="15"/>
      <c r="E7" s="15"/>
      <c r="F7" s="16" t="s">
        <v>44</v>
      </c>
      <c r="G7" s="17"/>
      <c r="H7" s="17"/>
    </row>
    <row r="8" customFormat="false" ht="25.35" hidden="false" customHeight="false" outlineLevel="0" collapsed="false">
      <c r="A8" s="14" t="s">
        <v>5334</v>
      </c>
      <c r="B8" s="15" t="s">
        <v>5335</v>
      </c>
      <c r="C8" s="14" t="s">
        <v>5336</v>
      </c>
      <c r="D8" s="14" t="s">
        <v>5337</v>
      </c>
      <c r="E8" s="15"/>
      <c r="F8" s="16" t="s">
        <v>44</v>
      </c>
      <c r="G8" s="17"/>
      <c r="H8" s="17"/>
    </row>
    <row r="9" customFormat="false" ht="29.85" hidden="false" customHeight="false" outlineLevel="0" collapsed="false">
      <c r="A9" s="14" t="s">
        <v>5338</v>
      </c>
      <c r="B9" s="15" t="s">
        <v>5339</v>
      </c>
      <c r="C9" s="15" t="s">
        <v>5340</v>
      </c>
      <c r="D9" s="15"/>
      <c r="E9" s="15"/>
      <c r="F9" s="16" t="s">
        <v>44</v>
      </c>
      <c r="G9" s="17"/>
      <c r="H9" s="17"/>
    </row>
    <row r="10" customFormat="false" ht="29.85" hidden="false" customHeight="false" outlineLevel="0" collapsed="false">
      <c r="A10" s="14" t="s">
        <v>5341</v>
      </c>
      <c r="B10" s="15" t="s">
        <v>5342</v>
      </c>
      <c r="C10" s="15" t="s">
        <v>5343</v>
      </c>
      <c r="D10" s="15"/>
      <c r="E10" s="15"/>
      <c r="F10" s="16" t="s">
        <v>44</v>
      </c>
      <c r="G10" s="17"/>
      <c r="H10" s="17"/>
    </row>
    <row r="11" customFormat="false" ht="15" hidden="false" customHeight="false" outlineLevel="0" collapsed="false">
      <c r="A11" s="14" t="s">
        <v>5344</v>
      </c>
      <c r="B11" s="15" t="s">
        <v>5345</v>
      </c>
      <c r="C11" s="15" t="s">
        <v>5346</v>
      </c>
      <c r="D11" s="15"/>
      <c r="E11" s="15"/>
      <c r="F11" s="16" t="s">
        <v>44</v>
      </c>
      <c r="G11" s="17"/>
      <c r="H11" s="17"/>
    </row>
    <row r="12" customFormat="false" ht="15" hidden="false" customHeight="false" outlineLevel="0" collapsed="false">
      <c r="A12" s="14" t="s">
        <v>5347</v>
      </c>
      <c r="B12" s="15" t="s">
        <v>5348</v>
      </c>
      <c r="C12" s="15" t="s">
        <v>5349</v>
      </c>
      <c r="D12" s="15"/>
      <c r="E12" s="15"/>
      <c r="F12" s="16" t="s">
        <v>44</v>
      </c>
      <c r="G12" s="17"/>
      <c r="H12" s="17"/>
    </row>
    <row r="13" customFormat="false" ht="29.85" hidden="false" customHeight="false" outlineLevel="0" collapsed="false">
      <c r="A13" s="14" t="s">
        <v>5350</v>
      </c>
      <c r="B13" s="15" t="s">
        <v>5351</v>
      </c>
      <c r="C13" s="15" t="s">
        <v>5352</v>
      </c>
      <c r="D13" s="15"/>
      <c r="E13" s="15"/>
      <c r="F13" s="16" t="s">
        <v>44</v>
      </c>
      <c r="G13" s="17"/>
      <c r="H13" s="17"/>
    </row>
    <row r="14" customFormat="false" ht="29.85" hidden="false" customHeight="false" outlineLevel="0" collapsed="false">
      <c r="A14" s="14" t="s">
        <v>5353</v>
      </c>
      <c r="B14" s="15" t="s">
        <v>5354</v>
      </c>
      <c r="C14" s="15" t="s">
        <v>5355</v>
      </c>
      <c r="D14" s="15"/>
      <c r="E14" s="15"/>
      <c r="F14" s="16" t="s">
        <v>44</v>
      </c>
      <c r="G14" s="17"/>
      <c r="H14" s="17"/>
    </row>
    <row r="15" customFormat="false" ht="25.35" hidden="false" customHeight="false" outlineLevel="0" collapsed="false">
      <c r="A15" s="14" t="s">
        <v>5356</v>
      </c>
      <c r="B15" s="15" t="s">
        <v>5357</v>
      </c>
      <c r="C15" s="15" t="s">
        <v>5358</v>
      </c>
      <c r="D15" s="15"/>
      <c r="E15" s="15"/>
      <c r="F15" s="16" t="s">
        <v>44</v>
      </c>
      <c r="G15" s="17"/>
      <c r="H15" s="17"/>
    </row>
    <row r="16" customFormat="false" ht="25.35" hidden="false" customHeight="false" outlineLevel="0" collapsed="false">
      <c r="A16" s="14" t="s">
        <v>5359</v>
      </c>
      <c r="B16" s="15" t="s">
        <v>5357</v>
      </c>
      <c r="C16" s="15" t="s">
        <v>5360</v>
      </c>
      <c r="D16" s="15"/>
      <c r="E16" s="15"/>
      <c r="F16" s="16" t="s">
        <v>44</v>
      </c>
      <c r="G16" s="17"/>
      <c r="H16" s="17"/>
    </row>
    <row r="17" customFormat="false" ht="25.35" hidden="false" customHeight="false" outlineLevel="0" collapsed="false">
      <c r="A17" s="14" t="s">
        <v>5361</v>
      </c>
      <c r="B17" s="15" t="s">
        <v>5357</v>
      </c>
      <c r="C17" s="15" t="s">
        <v>5362</v>
      </c>
      <c r="D17" s="15"/>
      <c r="E17" s="15"/>
      <c r="F17" s="16" t="s">
        <v>44</v>
      </c>
      <c r="G17" s="17"/>
      <c r="H17" s="17"/>
    </row>
    <row r="18" customFormat="false" ht="25.35" hidden="false" customHeight="false" outlineLevel="0" collapsed="false">
      <c r="A18" s="14" t="s">
        <v>5363</v>
      </c>
      <c r="B18" s="15" t="s">
        <v>5357</v>
      </c>
      <c r="C18" s="15" t="s">
        <v>5364</v>
      </c>
      <c r="D18" s="15"/>
      <c r="E18" s="15"/>
      <c r="F18" s="16" t="s">
        <v>44</v>
      </c>
      <c r="G18" s="17"/>
      <c r="H18" s="17"/>
    </row>
    <row r="19" customFormat="false" ht="25.35" hidden="false" customHeight="false" outlineLevel="0" collapsed="false">
      <c r="A19" s="14" t="s">
        <v>5365</v>
      </c>
      <c r="B19" s="15" t="s">
        <v>5357</v>
      </c>
      <c r="C19" s="14" t="s">
        <v>5366</v>
      </c>
      <c r="D19" s="15"/>
      <c r="E19" s="15"/>
      <c r="F19" s="16" t="s">
        <v>44</v>
      </c>
      <c r="G19" s="17"/>
      <c r="H19" s="17"/>
    </row>
    <row r="20" customFormat="false" ht="25.35" hidden="false" customHeight="false" outlineLevel="0" collapsed="false">
      <c r="A20" s="14" t="s">
        <v>5367</v>
      </c>
      <c r="B20" s="14" t="s">
        <v>5368</v>
      </c>
      <c r="C20" s="14" t="s">
        <v>5369</v>
      </c>
      <c r="D20" s="15" t="s">
        <v>5370</v>
      </c>
      <c r="E20" s="15"/>
      <c r="F20" s="16" t="s">
        <v>44</v>
      </c>
      <c r="G20" s="17"/>
      <c r="H20" s="17"/>
    </row>
    <row r="21" customFormat="false" ht="15" hidden="false" customHeight="false" outlineLevel="0" collapsed="false">
      <c r="A21" s="14" t="s">
        <v>5371</v>
      </c>
      <c r="B21" s="14" t="s">
        <v>5368</v>
      </c>
      <c r="C21" s="14" t="s">
        <v>5372</v>
      </c>
      <c r="D21" s="15" t="s">
        <v>1834</v>
      </c>
      <c r="E21" s="15"/>
      <c r="F21" s="16" t="s">
        <v>44</v>
      </c>
      <c r="G21" s="17"/>
      <c r="H21" s="17"/>
    </row>
    <row r="22" customFormat="false" ht="25.35" hidden="false" customHeight="false" outlineLevel="0" collapsed="false">
      <c r="A22" s="14" t="s">
        <v>5373</v>
      </c>
      <c r="B22" s="14" t="s">
        <v>5368</v>
      </c>
      <c r="C22" s="14" t="s">
        <v>5374</v>
      </c>
      <c r="D22" s="15" t="s">
        <v>1042</v>
      </c>
      <c r="E22" s="15"/>
      <c r="F22" s="16" t="s">
        <v>44</v>
      </c>
      <c r="G22" s="17"/>
      <c r="H22" s="17"/>
    </row>
    <row r="23" customFormat="false" ht="25.35" hidden="false" customHeight="false" outlineLevel="0" collapsed="false">
      <c r="A23" s="14" t="s">
        <v>5375</v>
      </c>
      <c r="B23" s="14" t="s">
        <v>5368</v>
      </c>
      <c r="C23" s="14" t="s">
        <v>5376</v>
      </c>
      <c r="D23" s="15" t="s">
        <v>5377</v>
      </c>
      <c r="E23" s="15"/>
      <c r="F23" s="16" t="s">
        <v>44</v>
      </c>
      <c r="G23" s="17"/>
      <c r="H23" s="17"/>
    </row>
    <row r="24" customFormat="false" ht="15" hidden="false" customHeight="false" outlineLevel="0" collapsed="false">
      <c r="A24" s="14" t="s">
        <v>5378</v>
      </c>
      <c r="B24" s="14" t="s">
        <v>5368</v>
      </c>
      <c r="C24" s="14" t="s">
        <v>5379</v>
      </c>
      <c r="D24" s="15" t="s">
        <v>1192</v>
      </c>
      <c r="E24" s="15"/>
      <c r="F24" s="16" t="s">
        <v>44</v>
      </c>
      <c r="G24" s="17"/>
      <c r="H24" s="17"/>
    </row>
    <row r="25" customFormat="false" ht="15" hidden="false" customHeight="false" outlineLevel="0" collapsed="false">
      <c r="A25" s="14" t="s">
        <v>5380</v>
      </c>
      <c r="B25" s="15" t="s">
        <v>5381</v>
      </c>
      <c r="C25" s="15" t="s">
        <v>5382</v>
      </c>
      <c r="D25" s="15"/>
      <c r="E25" s="15"/>
      <c r="F25" s="16" t="s">
        <v>44</v>
      </c>
      <c r="G25" s="17"/>
      <c r="H25" s="17"/>
    </row>
    <row r="26" customFormat="false" ht="29.85" hidden="false" customHeight="false" outlineLevel="0" collapsed="false">
      <c r="A26" s="14" t="s">
        <v>5383</v>
      </c>
      <c r="B26" s="14" t="s">
        <v>5384</v>
      </c>
      <c r="C26" s="14" t="s">
        <v>5385</v>
      </c>
      <c r="D26" s="14" t="s">
        <v>5386</v>
      </c>
      <c r="E26" s="15"/>
      <c r="F26" s="16" t="s">
        <v>44</v>
      </c>
      <c r="G26" s="17"/>
      <c r="H26" s="17"/>
    </row>
    <row r="27" customFormat="false" ht="15" hidden="false" customHeight="false" outlineLevel="0" collapsed="false">
      <c r="A27" s="14" t="s">
        <v>5387</v>
      </c>
      <c r="B27" s="15" t="s">
        <v>5388</v>
      </c>
      <c r="C27" s="14" t="s">
        <v>5389</v>
      </c>
      <c r="D27" s="15"/>
      <c r="E27" s="15"/>
      <c r="F27" s="16" t="s">
        <v>44</v>
      </c>
      <c r="G27" s="17"/>
      <c r="H27" s="17"/>
    </row>
    <row r="28" customFormat="false" ht="29.85" hidden="false" customHeight="false" outlineLevel="0" collapsed="false">
      <c r="A28" s="14" t="s">
        <v>5390</v>
      </c>
      <c r="B28" s="15" t="s">
        <v>5388</v>
      </c>
      <c r="C28" s="15" t="s">
        <v>5391</v>
      </c>
      <c r="D28" s="15"/>
      <c r="E28" s="15"/>
      <c r="F28" s="16" t="s">
        <v>44</v>
      </c>
      <c r="G28" s="17"/>
      <c r="H28" s="17"/>
    </row>
    <row r="29" customFormat="false" ht="25.35" hidden="false" customHeight="false" outlineLevel="0" collapsed="false">
      <c r="A29" s="14" t="s">
        <v>5392</v>
      </c>
      <c r="B29" s="15" t="s">
        <v>5388</v>
      </c>
      <c r="C29" s="15" t="s">
        <v>5393</v>
      </c>
      <c r="D29" s="15"/>
      <c r="E29" s="15"/>
      <c r="F29" s="16" t="s">
        <v>44</v>
      </c>
      <c r="G29" s="17"/>
      <c r="H29" s="17"/>
    </row>
    <row r="30" customFormat="false" ht="29.85" hidden="false" customHeight="false" outlineLevel="0" collapsed="false">
      <c r="A30" s="14" t="s">
        <v>5394</v>
      </c>
      <c r="B30" s="15" t="s">
        <v>5395</v>
      </c>
      <c r="C30" s="14" t="s">
        <v>5396</v>
      </c>
      <c r="D30" s="15"/>
      <c r="E30" s="15"/>
      <c r="F30" s="16" t="s">
        <v>44</v>
      </c>
      <c r="G30" s="17"/>
      <c r="H30" s="17"/>
    </row>
  </sheetData>
  <autoFilter ref="A1:H30"/>
  <dataValidations count="1">
    <dataValidation allowBlank="false" errorStyle="stop" operator="between" showDropDown="false" showErrorMessage="false" showInputMessage="false" sqref="F2:F3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5" min="4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148</v>
      </c>
      <c r="B1" s="13" t="s">
        <v>5397</v>
      </c>
      <c r="C1" s="12" t="s">
        <v>2274</v>
      </c>
      <c r="D1" s="13" t="s">
        <v>5398</v>
      </c>
      <c r="E1" s="13" t="s">
        <v>5399</v>
      </c>
      <c r="F1" s="13" t="s">
        <v>2027</v>
      </c>
      <c r="G1" s="13" t="s">
        <v>160</v>
      </c>
      <c r="H1" s="13" t="s">
        <v>161</v>
      </c>
      <c r="I1" s="13" t="s">
        <v>162</v>
      </c>
    </row>
    <row r="2" customFormat="false" ht="72.35" hidden="false" customHeight="false" outlineLevel="0" collapsed="false">
      <c r="A2" s="14" t="s">
        <v>5400</v>
      </c>
      <c r="B2" s="14" t="s">
        <v>5401</v>
      </c>
      <c r="C2" s="15" t="s">
        <v>917</v>
      </c>
      <c r="D2" s="14" t="s">
        <v>5402</v>
      </c>
      <c r="E2" s="14" t="s">
        <v>5403</v>
      </c>
      <c r="F2" s="15"/>
      <c r="G2" s="16" t="s">
        <v>44</v>
      </c>
      <c r="H2" s="17"/>
      <c r="I2" s="17"/>
    </row>
    <row r="3" customFormat="false" ht="72.35" hidden="false" customHeight="false" outlineLevel="0" collapsed="false">
      <c r="A3" s="14" t="s">
        <v>5404</v>
      </c>
      <c r="B3" s="14" t="s">
        <v>5401</v>
      </c>
      <c r="C3" s="15" t="s">
        <v>2301</v>
      </c>
      <c r="D3" s="14" t="s">
        <v>5405</v>
      </c>
      <c r="E3" s="14" t="s">
        <v>5403</v>
      </c>
      <c r="F3" s="15"/>
      <c r="G3" s="16" t="s">
        <v>44</v>
      </c>
      <c r="H3" s="17"/>
      <c r="I3" s="17"/>
    </row>
    <row r="4" customFormat="false" ht="72.35" hidden="false" customHeight="false" outlineLevel="0" collapsed="false">
      <c r="A4" s="14" t="s">
        <v>5406</v>
      </c>
      <c r="B4" s="14" t="s">
        <v>5401</v>
      </c>
      <c r="C4" s="15" t="s">
        <v>2316</v>
      </c>
      <c r="D4" s="14" t="s">
        <v>5407</v>
      </c>
      <c r="E4" s="14" t="s">
        <v>5403</v>
      </c>
      <c r="F4" s="15"/>
      <c r="G4" s="16" t="s">
        <v>44</v>
      </c>
      <c r="H4" s="17"/>
      <c r="I4" s="17"/>
    </row>
    <row r="5" customFormat="false" ht="72.35" hidden="false" customHeight="false" outlineLevel="0" collapsed="false">
      <c r="A5" s="14" t="s">
        <v>5408</v>
      </c>
      <c r="B5" s="14" t="s">
        <v>5401</v>
      </c>
      <c r="C5" s="15" t="s">
        <v>2330</v>
      </c>
      <c r="D5" s="14" t="s">
        <v>5409</v>
      </c>
      <c r="E5" s="14" t="s">
        <v>5403</v>
      </c>
      <c r="F5" s="15"/>
      <c r="G5" s="16" t="s">
        <v>44</v>
      </c>
      <c r="H5" s="17"/>
      <c r="I5" s="17"/>
    </row>
    <row r="6" customFormat="false" ht="72.35" hidden="false" customHeight="false" outlineLevel="0" collapsed="false">
      <c r="A6" s="14" t="s">
        <v>5410</v>
      </c>
      <c r="B6" s="14" t="s">
        <v>5401</v>
      </c>
      <c r="C6" s="15" t="s">
        <v>2346</v>
      </c>
      <c r="D6" s="14" t="s">
        <v>5411</v>
      </c>
      <c r="E6" s="14" t="s">
        <v>5403</v>
      </c>
      <c r="F6" s="15"/>
      <c r="G6" s="16" t="s">
        <v>44</v>
      </c>
      <c r="H6" s="17"/>
      <c r="I6" s="17"/>
    </row>
    <row r="7" customFormat="false" ht="72.35" hidden="false" customHeight="false" outlineLevel="0" collapsed="false">
      <c r="A7" s="14" t="s">
        <v>5412</v>
      </c>
      <c r="B7" s="14" t="s">
        <v>5401</v>
      </c>
      <c r="C7" s="15" t="s">
        <v>2360</v>
      </c>
      <c r="D7" s="14" t="s">
        <v>5413</v>
      </c>
      <c r="E7" s="14" t="s">
        <v>5403</v>
      </c>
      <c r="F7" s="15"/>
      <c r="G7" s="16" t="s">
        <v>44</v>
      </c>
      <c r="H7" s="17"/>
      <c r="I7" s="17"/>
    </row>
    <row r="8" customFormat="false" ht="72.35" hidden="false" customHeight="false" outlineLevel="0" collapsed="false">
      <c r="A8" s="14" t="s">
        <v>5414</v>
      </c>
      <c r="B8" s="14" t="s">
        <v>5401</v>
      </c>
      <c r="C8" s="15" t="s">
        <v>2374</v>
      </c>
      <c r="D8" s="14" t="s">
        <v>5415</v>
      </c>
      <c r="E8" s="14" t="s">
        <v>5403</v>
      </c>
      <c r="F8" s="15"/>
      <c r="G8" s="16" t="s">
        <v>44</v>
      </c>
      <c r="H8" s="17"/>
      <c r="I8" s="17"/>
    </row>
    <row r="9" customFormat="false" ht="72.35" hidden="false" customHeight="false" outlineLevel="0" collapsed="false">
      <c r="A9" s="14" t="s">
        <v>5416</v>
      </c>
      <c r="B9" s="14" t="s">
        <v>5401</v>
      </c>
      <c r="C9" s="15" t="s">
        <v>2389</v>
      </c>
      <c r="D9" s="14" t="s">
        <v>5417</v>
      </c>
      <c r="E9" s="14" t="s">
        <v>5403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5418</v>
      </c>
      <c r="B10" s="14" t="s">
        <v>5401</v>
      </c>
      <c r="C10" s="15" t="s">
        <v>2405</v>
      </c>
      <c r="D10" s="14" t="s">
        <v>5419</v>
      </c>
      <c r="E10" s="14" t="s">
        <v>5403</v>
      </c>
      <c r="F10" s="15"/>
      <c r="G10" s="16" t="s">
        <v>44</v>
      </c>
      <c r="H10" s="17"/>
      <c r="I10" s="17"/>
    </row>
    <row r="11" customFormat="false" ht="72.35" hidden="false" customHeight="false" outlineLevel="0" collapsed="false">
      <c r="A11" s="14" t="s">
        <v>5420</v>
      </c>
      <c r="B11" s="14" t="s">
        <v>5401</v>
      </c>
      <c r="C11" s="15" t="s">
        <v>2419</v>
      </c>
      <c r="D11" s="14" t="s">
        <v>5421</v>
      </c>
      <c r="E11" s="14" t="s">
        <v>5403</v>
      </c>
      <c r="F11" s="15"/>
      <c r="G11" s="16" t="s">
        <v>44</v>
      </c>
      <c r="H11" s="17"/>
      <c r="I11" s="17"/>
    </row>
    <row r="12" customFormat="false" ht="72.35" hidden="false" customHeight="false" outlineLevel="0" collapsed="false">
      <c r="A12" s="14" t="s">
        <v>5422</v>
      </c>
      <c r="B12" s="14" t="s">
        <v>5401</v>
      </c>
      <c r="C12" s="15" t="s">
        <v>2434</v>
      </c>
      <c r="D12" s="14" t="s">
        <v>5423</v>
      </c>
      <c r="E12" s="14" t="s">
        <v>5403</v>
      </c>
      <c r="F12" s="15"/>
      <c r="G12" s="16" t="s">
        <v>44</v>
      </c>
      <c r="H12" s="17"/>
      <c r="I12" s="17"/>
    </row>
    <row r="13" customFormat="false" ht="72.35" hidden="false" customHeight="false" outlineLevel="0" collapsed="false">
      <c r="A13" s="14" t="s">
        <v>5424</v>
      </c>
      <c r="B13" s="14" t="s">
        <v>5425</v>
      </c>
      <c r="C13" s="15" t="s">
        <v>917</v>
      </c>
      <c r="D13" s="15" t="s">
        <v>5426</v>
      </c>
      <c r="E13" s="14" t="s">
        <v>5427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5428</v>
      </c>
      <c r="B14" s="14" t="s">
        <v>5425</v>
      </c>
      <c r="C14" s="15" t="s">
        <v>2301</v>
      </c>
      <c r="D14" s="15" t="s">
        <v>5429</v>
      </c>
      <c r="E14" s="14" t="s">
        <v>5427</v>
      </c>
      <c r="F14" s="15"/>
      <c r="G14" s="16" t="s">
        <v>44</v>
      </c>
      <c r="H14" s="17"/>
      <c r="I14" s="17"/>
    </row>
    <row r="15" customFormat="false" ht="72.35" hidden="false" customHeight="false" outlineLevel="0" collapsed="false">
      <c r="A15" s="14" t="s">
        <v>5430</v>
      </c>
      <c r="B15" s="14" t="s">
        <v>5425</v>
      </c>
      <c r="C15" s="15" t="s">
        <v>2316</v>
      </c>
      <c r="D15" s="15" t="s">
        <v>5431</v>
      </c>
      <c r="E15" s="14" t="s">
        <v>5427</v>
      </c>
      <c r="F15" s="15"/>
      <c r="G15" s="16" t="s">
        <v>44</v>
      </c>
      <c r="H15" s="17"/>
      <c r="I15" s="17"/>
    </row>
    <row r="16" customFormat="false" ht="72.35" hidden="false" customHeight="false" outlineLevel="0" collapsed="false">
      <c r="A16" s="14" t="s">
        <v>5432</v>
      </c>
      <c r="B16" s="14" t="s">
        <v>5425</v>
      </c>
      <c r="C16" s="15" t="s">
        <v>2330</v>
      </c>
      <c r="D16" s="15" t="s">
        <v>5433</v>
      </c>
      <c r="E16" s="14" t="s">
        <v>5427</v>
      </c>
      <c r="F16" s="15"/>
      <c r="G16" s="16" t="s">
        <v>44</v>
      </c>
      <c r="H16" s="17"/>
      <c r="I16" s="17"/>
    </row>
    <row r="17" customFormat="false" ht="72.35" hidden="false" customHeight="false" outlineLevel="0" collapsed="false">
      <c r="A17" s="14" t="s">
        <v>5434</v>
      </c>
      <c r="B17" s="14" t="s">
        <v>5425</v>
      </c>
      <c r="C17" s="15" t="s">
        <v>2346</v>
      </c>
      <c r="D17" s="15" t="s">
        <v>5435</v>
      </c>
      <c r="E17" s="14" t="s">
        <v>5427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5436</v>
      </c>
      <c r="B18" s="14" t="s">
        <v>5425</v>
      </c>
      <c r="C18" s="15" t="s">
        <v>2360</v>
      </c>
      <c r="D18" s="15" t="s">
        <v>5437</v>
      </c>
      <c r="E18" s="14" t="s">
        <v>5427</v>
      </c>
      <c r="F18" s="15"/>
      <c r="G18" s="16" t="s">
        <v>44</v>
      </c>
      <c r="H18" s="17"/>
      <c r="I18" s="17"/>
    </row>
    <row r="19" customFormat="false" ht="70.1" hidden="false" customHeight="false" outlineLevel="0" collapsed="false">
      <c r="A19" s="14" t="s">
        <v>5438</v>
      </c>
      <c r="B19" s="14" t="s">
        <v>5425</v>
      </c>
      <c r="C19" s="15" t="s">
        <v>2374</v>
      </c>
      <c r="D19" s="15" t="s">
        <v>5439</v>
      </c>
      <c r="E19" s="14" t="s">
        <v>5427</v>
      </c>
      <c r="F19" s="15"/>
      <c r="G19" s="16" t="s">
        <v>44</v>
      </c>
      <c r="H19" s="17"/>
      <c r="I19" s="17"/>
    </row>
    <row r="20" customFormat="false" ht="72.35" hidden="false" customHeight="false" outlineLevel="0" collapsed="false">
      <c r="A20" s="14" t="s">
        <v>5440</v>
      </c>
      <c r="B20" s="14" t="s">
        <v>5425</v>
      </c>
      <c r="C20" s="15" t="s">
        <v>2389</v>
      </c>
      <c r="D20" s="15" t="s">
        <v>5441</v>
      </c>
      <c r="E20" s="14" t="s">
        <v>5427</v>
      </c>
      <c r="F20" s="15"/>
      <c r="G20" s="16" t="s">
        <v>44</v>
      </c>
      <c r="H20" s="17"/>
      <c r="I20" s="17"/>
    </row>
    <row r="21" customFormat="false" ht="58.2" hidden="false" customHeight="false" outlineLevel="0" collapsed="false">
      <c r="A21" s="14" t="s">
        <v>5442</v>
      </c>
      <c r="B21" s="14" t="s">
        <v>5425</v>
      </c>
      <c r="C21" s="15" t="s">
        <v>2405</v>
      </c>
      <c r="D21" s="15" t="s">
        <v>5443</v>
      </c>
      <c r="E21" s="14" t="s">
        <v>5427</v>
      </c>
      <c r="F21" s="15"/>
      <c r="G21" s="16" t="s">
        <v>44</v>
      </c>
      <c r="H21" s="17"/>
      <c r="I21" s="17"/>
    </row>
    <row r="22" customFormat="false" ht="58.2" hidden="false" customHeight="false" outlineLevel="0" collapsed="false">
      <c r="A22" s="14" t="s">
        <v>5444</v>
      </c>
      <c r="B22" s="14" t="s">
        <v>5425</v>
      </c>
      <c r="C22" s="15" t="s">
        <v>2419</v>
      </c>
      <c r="D22" s="15" t="s">
        <v>5445</v>
      </c>
      <c r="E22" s="14" t="s">
        <v>5427</v>
      </c>
      <c r="F22" s="15"/>
      <c r="G22" s="16" t="s">
        <v>44</v>
      </c>
      <c r="H22" s="17"/>
      <c r="I22" s="17"/>
    </row>
    <row r="23" customFormat="false" ht="58.2" hidden="false" customHeight="false" outlineLevel="0" collapsed="false">
      <c r="A23" s="14" t="s">
        <v>5446</v>
      </c>
      <c r="B23" s="14" t="s">
        <v>5425</v>
      </c>
      <c r="C23" s="15" t="s">
        <v>2434</v>
      </c>
      <c r="D23" s="15" t="s">
        <v>5447</v>
      </c>
      <c r="E23" s="14" t="s">
        <v>5427</v>
      </c>
      <c r="F23" s="15"/>
      <c r="G23" s="16" t="s">
        <v>44</v>
      </c>
      <c r="H23" s="17"/>
      <c r="I23" s="17"/>
    </row>
  </sheetData>
  <autoFilter ref="A1:I23"/>
  <dataValidations count="1">
    <dataValidation allowBlank="false" errorStyle="stop" operator="between" showDropDown="false" showErrorMessage="false" showInputMessage="false" sqref="G2:G2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8.6"/>
    <col collapsed="false" customWidth="true" hidden="false" outlineLevel="0" max="6" min="5" style="0" width="8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148</v>
      </c>
      <c r="B1" s="13" t="s">
        <v>5448</v>
      </c>
      <c r="C1" s="13" t="s">
        <v>5449</v>
      </c>
      <c r="D1" s="13" t="s">
        <v>5450</v>
      </c>
      <c r="E1" s="13" t="s">
        <v>5451</v>
      </c>
      <c r="F1" s="13" t="s">
        <v>5452</v>
      </c>
      <c r="G1" s="13" t="s">
        <v>5453</v>
      </c>
      <c r="H1" s="13" t="s">
        <v>160</v>
      </c>
      <c r="I1" s="13" t="s">
        <v>161</v>
      </c>
      <c r="J1" s="13" t="s">
        <v>162</v>
      </c>
    </row>
    <row r="2" customFormat="false" ht="15" hidden="false" customHeight="false" outlineLevel="0" collapsed="false">
      <c r="A2" s="14" t="s">
        <v>5454</v>
      </c>
      <c r="B2" s="15" t="s">
        <v>5455</v>
      </c>
      <c r="C2" s="15" t="s">
        <v>5456</v>
      </c>
      <c r="D2" s="14" t="s">
        <v>5457</v>
      </c>
      <c r="E2" s="14" t="s">
        <v>5458</v>
      </c>
      <c r="F2" s="15" t="s">
        <v>5459</v>
      </c>
      <c r="G2" s="15" t="s">
        <v>5460</v>
      </c>
      <c r="H2" s="16" t="s">
        <v>44</v>
      </c>
      <c r="I2" s="17"/>
      <c r="J2" s="17"/>
    </row>
    <row r="3" customFormat="false" ht="15" hidden="false" customHeight="false" outlineLevel="0" collapsed="false">
      <c r="A3" s="14" t="s">
        <v>5461</v>
      </c>
      <c r="B3" s="15" t="s">
        <v>5455</v>
      </c>
      <c r="C3" s="15" t="s">
        <v>5462</v>
      </c>
      <c r="D3" s="14" t="s">
        <v>5463</v>
      </c>
      <c r="E3" s="14" t="s">
        <v>5458</v>
      </c>
      <c r="F3" s="15" t="s">
        <v>5459</v>
      </c>
      <c r="G3" s="15" t="s">
        <v>5460</v>
      </c>
      <c r="H3" s="16" t="s">
        <v>44</v>
      </c>
      <c r="I3" s="17"/>
      <c r="J3" s="17"/>
    </row>
    <row r="4" customFormat="false" ht="15" hidden="false" customHeight="false" outlineLevel="0" collapsed="false">
      <c r="A4" s="14" t="s">
        <v>5464</v>
      </c>
      <c r="B4" s="15" t="s">
        <v>5455</v>
      </c>
      <c r="C4" s="15" t="s">
        <v>5465</v>
      </c>
      <c r="D4" s="14" t="s">
        <v>5466</v>
      </c>
      <c r="E4" s="14" t="s">
        <v>5458</v>
      </c>
      <c r="F4" s="15" t="s">
        <v>5459</v>
      </c>
      <c r="G4" s="15" t="s">
        <v>5460</v>
      </c>
      <c r="H4" s="16" t="s">
        <v>44</v>
      </c>
      <c r="I4" s="17"/>
      <c r="J4" s="17"/>
    </row>
    <row r="5" customFormat="false" ht="15" hidden="false" customHeight="false" outlineLevel="0" collapsed="false">
      <c r="A5" s="14" t="s">
        <v>5467</v>
      </c>
      <c r="B5" s="15" t="s">
        <v>5455</v>
      </c>
      <c r="C5" s="15" t="s">
        <v>5468</v>
      </c>
      <c r="D5" s="15" t="s">
        <v>5469</v>
      </c>
      <c r="E5" s="14" t="s">
        <v>5458</v>
      </c>
      <c r="F5" s="15" t="s">
        <v>5459</v>
      </c>
      <c r="G5" s="15" t="s">
        <v>5470</v>
      </c>
      <c r="H5" s="16" t="s">
        <v>44</v>
      </c>
      <c r="I5" s="17"/>
      <c r="J5" s="17"/>
    </row>
    <row r="6" customFormat="false" ht="15" hidden="false" customHeight="false" outlineLevel="0" collapsed="false">
      <c r="A6" s="14" t="s">
        <v>5471</v>
      </c>
      <c r="B6" s="15" t="s">
        <v>5455</v>
      </c>
      <c r="C6" s="14" t="s">
        <v>5472</v>
      </c>
      <c r="D6" s="14" t="s">
        <v>5473</v>
      </c>
      <c r="E6" s="14" t="s">
        <v>5458</v>
      </c>
      <c r="F6" s="15" t="s">
        <v>5459</v>
      </c>
      <c r="G6" s="14" t="s">
        <v>5474</v>
      </c>
      <c r="H6" s="16" t="s">
        <v>44</v>
      </c>
      <c r="I6" s="17"/>
      <c r="J6" s="17"/>
    </row>
    <row r="7" customFormat="false" ht="15" hidden="false" customHeight="false" outlineLevel="0" collapsed="false">
      <c r="A7" s="14" t="s">
        <v>5475</v>
      </c>
      <c r="B7" s="15" t="s">
        <v>5455</v>
      </c>
      <c r="C7" s="14" t="s">
        <v>5476</v>
      </c>
      <c r="D7" s="14" t="s">
        <v>5477</v>
      </c>
      <c r="E7" s="14" t="s">
        <v>5458</v>
      </c>
      <c r="F7" s="15" t="s">
        <v>5478</v>
      </c>
      <c r="G7" s="15" t="s">
        <v>5479</v>
      </c>
      <c r="H7" s="16" t="s">
        <v>44</v>
      </c>
      <c r="I7" s="17"/>
      <c r="J7" s="17"/>
    </row>
    <row r="8" customFormat="false" ht="15" hidden="false" customHeight="false" outlineLevel="0" collapsed="false">
      <c r="A8" s="14" t="s">
        <v>5480</v>
      </c>
      <c r="B8" s="15" t="s">
        <v>5455</v>
      </c>
      <c r="C8" s="15" t="s">
        <v>5481</v>
      </c>
      <c r="D8" s="14" t="s">
        <v>5463</v>
      </c>
      <c r="E8" s="14" t="s">
        <v>5458</v>
      </c>
      <c r="F8" s="15" t="s">
        <v>5459</v>
      </c>
      <c r="G8" s="15" t="s">
        <v>5460</v>
      </c>
      <c r="H8" s="16" t="s">
        <v>44</v>
      </c>
      <c r="I8" s="17"/>
      <c r="J8" s="17"/>
    </row>
    <row r="9" customFormat="false" ht="15" hidden="false" customHeight="false" outlineLevel="0" collapsed="false">
      <c r="A9" s="14" t="s">
        <v>5482</v>
      </c>
      <c r="B9" s="15" t="s">
        <v>5455</v>
      </c>
      <c r="C9" s="14" t="s">
        <v>5483</v>
      </c>
      <c r="D9" s="15"/>
      <c r="E9" s="14" t="s">
        <v>5458</v>
      </c>
      <c r="F9" s="15" t="s">
        <v>5459</v>
      </c>
      <c r="G9" s="15" t="s">
        <v>5460</v>
      </c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5484</v>
      </c>
      <c r="B10" s="15" t="s">
        <v>5455</v>
      </c>
      <c r="C10" s="14" t="s">
        <v>5485</v>
      </c>
      <c r="D10" s="15" t="s">
        <v>5486</v>
      </c>
      <c r="E10" s="14" t="s">
        <v>5458</v>
      </c>
      <c r="F10" s="15" t="s">
        <v>5459</v>
      </c>
      <c r="G10" s="15" t="s">
        <v>5487</v>
      </c>
      <c r="H10" s="16" t="s">
        <v>44</v>
      </c>
      <c r="I10" s="17"/>
      <c r="J10" s="17"/>
    </row>
    <row r="11" customFormat="false" ht="15" hidden="false" customHeight="false" outlineLevel="0" collapsed="false">
      <c r="A11" s="14" t="s">
        <v>5488</v>
      </c>
      <c r="B11" s="15" t="s">
        <v>5455</v>
      </c>
      <c r="C11" s="14" t="s">
        <v>5489</v>
      </c>
      <c r="D11" s="15" t="s">
        <v>5490</v>
      </c>
      <c r="E11" s="14" t="s">
        <v>5458</v>
      </c>
      <c r="F11" s="15" t="s">
        <v>5459</v>
      </c>
      <c r="G11" s="15" t="s">
        <v>5487</v>
      </c>
      <c r="H11" s="16" t="s">
        <v>44</v>
      </c>
      <c r="I11" s="17"/>
      <c r="J11" s="17"/>
    </row>
    <row r="12" customFormat="false" ht="15" hidden="false" customHeight="false" outlineLevel="0" collapsed="false">
      <c r="A12" s="14" t="s">
        <v>5491</v>
      </c>
      <c r="B12" s="15" t="s">
        <v>5455</v>
      </c>
      <c r="C12" s="14" t="s">
        <v>5492</v>
      </c>
      <c r="D12" s="15"/>
      <c r="E12" s="14" t="s">
        <v>5458</v>
      </c>
      <c r="F12" s="15" t="s">
        <v>5459</v>
      </c>
      <c r="G12" s="15" t="s">
        <v>5487</v>
      </c>
      <c r="H12" s="16" t="s">
        <v>44</v>
      </c>
      <c r="I12" s="17"/>
      <c r="J12" s="17"/>
    </row>
    <row r="13" customFormat="false" ht="15" hidden="false" customHeight="false" outlineLevel="0" collapsed="false">
      <c r="A13" s="14" t="s">
        <v>5493</v>
      </c>
      <c r="B13" s="15" t="s">
        <v>5455</v>
      </c>
      <c r="C13" s="15" t="s">
        <v>5494</v>
      </c>
      <c r="D13" s="15" t="s">
        <v>5495</v>
      </c>
      <c r="E13" s="14" t="s">
        <v>5458</v>
      </c>
      <c r="F13" s="15" t="s">
        <v>5478</v>
      </c>
      <c r="G13" s="15" t="s">
        <v>5496</v>
      </c>
      <c r="H13" s="16" t="s">
        <v>44</v>
      </c>
      <c r="I13" s="17"/>
      <c r="J13" s="17"/>
    </row>
    <row r="14" customFormat="false" ht="15" hidden="false" customHeight="false" outlineLevel="0" collapsed="false">
      <c r="A14" s="14" t="s">
        <v>5497</v>
      </c>
      <c r="B14" s="15" t="s">
        <v>5455</v>
      </c>
      <c r="C14" s="14" t="s">
        <v>5498</v>
      </c>
      <c r="D14" s="15"/>
      <c r="E14" s="14" t="s">
        <v>5458</v>
      </c>
      <c r="F14" s="15" t="s">
        <v>5459</v>
      </c>
      <c r="G14" s="15" t="s">
        <v>5499</v>
      </c>
      <c r="H14" s="16" t="s">
        <v>44</v>
      </c>
      <c r="I14" s="17"/>
      <c r="J14" s="17"/>
    </row>
    <row r="15" customFormat="false" ht="15" hidden="false" customHeight="false" outlineLevel="0" collapsed="false">
      <c r="A15" s="14" t="s">
        <v>5500</v>
      </c>
      <c r="B15" s="15" t="s">
        <v>5501</v>
      </c>
      <c r="C15" s="14" t="s">
        <v>5502</v>
      </c>
      <c r="D15" s="14" t="s">
        <v>5503</v>
      </c>
      <c r="E15" s="14" t="s">
        <v>5458</v>
      </c>
      <c r="F15" s="15" t="s">
        <v>5459</v>
      </c>
      <c r="G15" s="15" t="s">
        <v>5504</v>
      </c>
      <c r="H15" s="16" t="s">
        <v>44</v>
      </c>
      <c r="I15" s="17"/>
      <c r="J15" s="17"/>
    </row>
    <row r="16" customFormat="false" ht="15" hidden="false" customHeight="false" outlineLevel="0" collapsed="false">
      <c r="A16" s="14" t="s">
        <v>5505</v>
      </c>
      <c r="B16" s="15" t="s">
        <v>5501</v>
      </c>
      <c r="C16" s="14" t="s">
        <v>5506</v>
      </c>
      <c r="D16" s="15" t="s">
        <v>5507</v>
      </c>
      <c r="E16" s="14" t="s">
        <v>5458</v>
      </c>
      <c r="F16" s="15" t="s">
        <v>5459</v>
      </c>
      <c r="G16" s="15"/>
      <c r="H16" s="16" t="s">
        <v>44</v>
      </c>
      <c r="I16" s="17"/>
      <c r="J16" s="17"/>
    </row>
    <row r="17" customFormat="false" ht="15" hidden="false" customHeight="false" outlineLevel="0" collapsed="false">
      <c r="A17" s="14" t="s">
        <v>5508</v>
      </c>
      <c r="B17" s="15" t="s">
        <v>5501</v>
      </c>
      <c r="C17" s="14" t="s">
        <v>5509</v>
      </c>
      <c r="D17" s="15"/>
      <c r="E17" s="14" t="s">
        <v>5458</v>
      </c>
      <c r="F17" s="15" t="s">
        <v>5459</v>
      </c>
      <c r="G17" s="15" t="s">
        <v>5510</v>
      </c>
      <c r="H17" s="16" t="s">
        <v>44</v>
      </c>
      <c r="I17" s="17"/>
      <c r="J17" s="17"/>
    </row>
    <row r="18" customFormat="false" ht="15" hidden="false" customHeight="false" outlineLevel="0" collapsed="false">
      <c r="A18" s="14" t="s">
        <v>5511</v>
      </c>
      <c r="B18" s="15" t="s">
        <v>5501</v>
      </c>
      <c r="C18" s="14" t="s">
        <v>5512</v>
      </c>
      <c r="D18" s="15" t="s">
        <v>5513</v>
      </c>
      <c r="E18" s="14" t="s">
        <v>5458</v>
      </c>
      <c r="F18" s="15" t="s">
        <v>5459</v>
      </c>
      <c r="G18" s="15"/>
      <c r="H18" s="16" t="s">
        <v>44</v>
      </c>
      <c r="I18" s="17"/>
      <c r="J18" s="17"/>
    </row>
    <row r="19" customFormat="false" ht="15" hidden="false" customHeight="false" outlineLevel="0" collapsed="false">
      <c r="A19" s="14" t="s">
        <v>5514</v>
      </c>
      <c r="B19" s="15" t="s">
        <v>5501</v>
      </c>
      <c r="C19" s="14" t="s">
        <v>5515</v>
      </c>
      <c r="D19" s="15" t="s">
        <v>5516</v>
      </c>
      <c r="E19" s="14" t="s">
        <v>5458</v>
      </c>
      <c r="F19" s="15" t="s">
        <v>5478</v>
      </c>
      <c r="G19" s="15"/>
      <c r="H19" s="16" t="s">
        <v>44</v>
      </c>
      <c r="I19" s="17"/>
      <c r="J19" s="17"/>
    </row>
    <row r="20" customFormat="false" ht="15" hidden="false" customHeight="false" outlineLevel="0" collapsed="false">
      <c r="A20" s="14" t="s">
        <v>5517</v>
      </c>
      <c r="B20" s="15" t="s">
        <v>5501</v>
      </c>
      <c r="C20" s="15" t="s">
        <v>5518</v>
      </c>
      <c r="D20" s="15"/>
      <c r="E20" s="14" t="s">
        <v>5458</v>
      </c>
      <c r="F20" s="15" t="s">
        <v>5459</v>
      </c>
      <c r="G20" s="15"/>
      <c r="H20" s="16" t="s">
        <v>44</v>
      </c>
      <c r="I20" s="17"/>
      <c r="J20" s="17"/>
    </row>
    <row r="21" customFormat="false" ht="15" hidden="false" customHeight="false" outlineLevel="0" collapsed="false">
      <c r="A21" s="14" t="s">
        <v>5519</v>
      </c>
      <c r="B21" s="15" t="s">
        <v>5501</v>
      </c>
      <c r="C21" s="14" t="s">
        <v>5520</v>
      </c>
      <c r="D21" s="15"/>
      <c r="E21" s="14" t="s">
        <v>5458</v>
      </c>
      <c r="F21" s="15" t="s">
        <v>5459</v>
      </c>
      <c r="G21" s="15"/>
      <c r="H21" s="16" t="s">
        <v>44</v>
      </c>
      <c r="I21" s="17"/>
      <c r="J21" s="17"/>
    </row>
    <row r="22" customFormat="false" ht="15" hidden="false" customHeight="false" outlineLevel="0" collapsed="false">
      <c r="A22" s="14" t="s">
        <v>5521</v>
      </c>
      <c r="B22" s="15" t="s">
        <v>5501</v>
      </c>
      <c r="C22" s="14" t="s">
        <v>5522</v>
      </c>
      <c r="D22" s="15" t="s">
        <v>887</v>
      </c>
      <c r="E22" s="14" t="s">
        <v>5458</v>
      </c>
      <c r="F22" s="15" t="s">
        <v>5459</v>
      </c>
      <c r="G22" s="15"/>
      <c r="H22" s="16" t="s">
        <v>44</v>
      </c>
      <c r="I22" s="17"/>
      <c r="J22" s="17"/>
    </row>
    <row r="23" customFormat="false" ht="15" hidden="false" customHeight="false" outlineLevel="0" collapsed="false">
      <c r="A23" s="14" t="s">
        <v>5523</v>
      </c>
      <c r="B23" s="15" t="s">
        <v>5501</v>
      </c>
      <c r="C23" s="15" t="s">
        <v>5524</v>
      </c>
      <c r="D23" s="15"/>
      <c r="E23" s="14" t="s">
        <v>5458</v>
      </c>
      <c r="F23" s="15" t="s">
        <v>5459</v>
      </c>
      <c r="G23" s="15"/>
      <c r="H23" s="16" t="s">
        <v>44</v>
      </c>
      <c r="I23" s="17"/>
      <c r="J23" s="17"/>
    </row>
    <row r="24" customFormat="false" ht="15" hidden="false" customHeight="false" outlineLevel="0" collapsed="false">
      <c r="A24" s="14" t="s">
        <v>5525</v>
      </c>
      <c r="B24" s="15" t="s">
        <v>5501</v>
      </c>
      <c r="C24" s="14" t="s">
        <v>5526</v>
      </c>
      <c r="D24" s="15"/>
      <c r="E24" s="14" t="s">
        <v>5458</v>
      </c>
      <c r="F24" s="15" t="s">
        <v>5459</v>
      </c>
      <c r="G24" s="15"/>
      <c r="H24" s="16" t="s">
        <v>44</v>
      </c>
      <c r="I24" s="17"/>
      <c r="J24" s="17"/>
    </row>
    <row r="25" customFormat="false" ht="15" hidden="false" customHeight="false" outlineLevel="0" collapsed="false">
      <c r="A25" s="14" t="s">
        <v>5527</v>
      </c>
      <c r="B25" s="15" t="s">
        <v>5501</v>
      </c>
      <c r="C25" s="14" t="s">
        <v>5528</v>
      </c>
      <c r="D25" s="15"/>
      <c r="E25" s="14" t="s">
        <v>5458</v>
      </c>
      <c r="F25" s="15" t="s">
        <v>5459</v>
      </c>
      <c r="G25" s="15"/>
      <c r="H25" s="16" t="s">
        <v>44</v>
      </c>
      <c r="I25" s="17"/>
      <c r="J25" s="17"/>
    </row>
    <row r="26" customFormat="false" ht="15" hidden="false" customHeight="false" outlineLevel="0" collapsed="false">
      <c r="A26" s="14" t="s">
        <v>5529</v>
      </c>
      <c r="B26" s="15" t="s">
        <v>5501</v>
      </c>
      <c r="C26" s="14" t="s">
        <v>5530</v>
      </c>
      <c r="D26" s="14" t="s">
        <v>5531</v>
      </c>
      <c r="E26" s="14" t="s">
        <v>5458</v>
      </c>
      <c r="F26" s="15" t="s">
        <v>5459</v>
      </c>
      <c r="G26" s="15" t="s">
        <v>5532</v>
      </c>
      <c r="H26" s="16" t="s">
        <v>44</v>
      </c>
      <c r="I26" s="17"/>
      <c r="J26" s="17"/>
    </row>
    <row r="27" customFormat="false" ht="15" hidden="false" customHeight="false" outlineLevel="0" collapsed="false">
      <c r="A27" s="14" t="s">
        <v>5533</v>
      </c>
      <c r="B27" s="15" t="s">
        <v>5501</v>
      </c>
      <c r="C27" s="14" t="s">
        <v>5534</v>
      </c>
      <c r="D27" s="15" t="s">
        <v>5535</v>
      </c>
      <c r="E27" s="14" t="s">
        <v>5458</v>
      </c>
      <c r="F27" s="15" t="s">
        <v>5478</v>
      </c>
      <c r="G27" s="14" t="s">
        <v>5536</v>
      </c>
      <c r="H27" s="16" t="s">
        <v>44</v>
      </c>
      <c r="I27" s="17"/>
      <c r="J27" s="17"/>
    </row>
    <row r="28" customFormat="false" ht="15" hidden="false" customHeight="false" outlineLevel="0" collapsed="false">
      <c r="A28" s="14" t="s">
        <v>5537</v>
      </c>
      <c r="B28" s="15" t="s">
        <v>5501</v>
      </c>
      <c r="C28" s="14" t="s">
        <v>5538</v>
      </c>
      <c r="D28" s="15"/>
      <c r="E28" s="14" t="s">
        <v>5458</v>
      </c>
      <c r="F28" s="15" t="s">
        <v>5459</v>
      </c>
      <c r="G28" s="15"/>
      <c r="H28" s="16" t="s">
        <v>44</v>
      </c>
      <c r="I28" s="17"/>
      <c r="J28" s="17"/>
    </row>
    <row r="29" customFormat="false" ht="15" hidden="false" customHeight="false" outlineLevel="0" collapsed="false">
      <c r="A29" s="14" t="s">
        <v>5539</v>
      </c>
      <c r="B29" s="15" t="s">
        <v>5501</v>
      </c>
      <c r="C29" s="14" t="s">
        <v>5540</v>
      </c>
      <c r="D29" s="15"/>
      <c r="E29" s="14" t="s">
        <v>5458</v>
      </c>
      <c r="F29" s="15" t="s">
        <v>5459</v>
      </c>
      <c r="G29" s="15" t="s">
        <v>5541</v>
      </c>
      <c r="H29" s="16" t="s">
        <v>44</v>
      </c>
      <c r="I29" s="17"/>
      <c r="J29" s="17"/>
    </row>
    <row r="30" customFormat="false" ht="15" hidden="false" customHeight="false" outlineLevel="0" collapsed="false">
      <c r="A30" s="14" t="s">
        <v>5542</v>
      </c>
      <c r="B30" s="15" t="s">
        <v>5501</v>
      </c>
      <c r="C30" s="14" t="s">
        <v>5543</v>
      </c>
      <c r="D30" s="15"/>
      <c r="E30" s="14" t="s">
        <v>5458</v>
      </c>
      <c r="F30" s="15" t="s">
        <v>5459</v>
      </c>
      <c r="G30" s="15" t="s">
        <v>5541</v>
      </c>
      <c r="H30" s="16" t="s">
        <v>44</v>
      </c>
      <c r="I30" s="17"/>
      <c r="J30" s="17"/>
    </row>
    <row r="31" customFormat="false" ht="15" hidden="false" customHeight="false" outlineLevel="0" collapsed="false">
      <c r="A31" s="14" t="s">
        <v>5544</v>
      </c>
      <c r="B31" s="15" t="s">
        <v>5501</v>
      </c>
      <c r="C31" s="14" t="s">
        <v>5545</v>
      </c>
      <c r="D31" s="15"/>
      <c r="E31" s="14" t="s">
        <v>5458</v>
      </c>
      <c r="F31" s="15" t="s">
        <v>5459</v>
      </c>
      <c r="G31" s="15" t="s">
        <v>5541</v>
      </c>
      <c r="H31" s="16" t="s">
        <v>44</v>
      </c>
      <c r="I31" s="17"/>
      <c r="J31" s="17"/>
    </row>
    <row r="32" customFormat="false" ht="15" hidden="false" customHeight="false" outlineLevel="0" collapsed="false">
      <c r="A32" s="14" t="s">
        <v>5546</v>
      </c>
      <c r="B32" s="15" t="s">
        <v>5547</v>
      </c>
      <c r="C32" s="15" t="s">
        <v>5548</v>
      </c>
      <c r="D32" s="15" t="s">
        <v>5549</v>
      </c>
      <c r="E32" s="14" t="s">
        <v>5458</v>
      </c>
      <c r="F32" s="15" t="s">
        <v>5459</v>
      </c>
      <c r="G32" s="14" t="s">
        <v>5550</v>
      </c>
      <c r="H32" s="16" t="s">
        <v>44</v>
      </c>
      <c r="I32" s="17"/>
      <c r="J32" s="17"/>
    </row>
    <row r="33" customFormat="false" ht="15" hidden="false" customHeight="false" outlineLevel="0" collapsed="false">
      <c r="A33" s="14" t="s">
        <v>5551</v>
      </c>
      <c r="B33" s="15" t="s">
        <v>5547</v>
      </c>
      <c r="C33" s="14" t="s">
        <v>5552</v>
      </c>
      <c r="D33" s="15"/>
      <c r="E33" s="14" t="s">
        <v>5458</v>
      </c>
      <c r="F33" s="15" t="s">
        <v>5459</v>
      </c>
      <c r="G33" s="14" t="s">
        <v>5553</v>
      </c>
      <c r="H33" s="16" t="s">
        <v>44</v>
      </c>
      <c r="I33" s="17"/>
      <c r="J33" s="17"/>
    </row>
    <row r="34" customFormat="false" ht="15" hidden="false" customHeight="false" outlineLevel="0" collapsed="false">
      <c r="A34" s="14" t="s">
        <v>5554</v>
      </c>
      <c r="B34" s="15" t="s">
        <v>5547</v>
      </c>
      <c r="C34" s="15" t="s">
        <v>5555</v>
      </c>
      <c r="D34" s="15" t="s">
        <v>5556</v>
      </c>
      <c r="E34" s="14" t="s">
        <v>5458</v>
      </c>
      <c r="F34" s="15" t="s">
        <v>5478</v>
      </c>
      <c r="G34" s="15" t="s">
        <v>5557</v>
      </c>
      <c r="H34" s="16" t="s">
        <v>44</v>
      </c>
      <c r="I34" s="17"/>
      <c r="J34" s="17"/>
    </row>
    <row r="35" customFormat="false" ht="15" hidden="false" customHeight="false" outlineLevel="0" collapsed="false">
      <c r="A35" s="14" t="s">
        <v>5558</v>
      </c>
      <c r="B35" s="15" t="s">
        <v>5547</v>
      </c>
      <c r="C35" s="15" t="s">
        <v>5559</v>
      </c>
      <c r="D35" s="15"/>
      <c r="E35" s="14" t="s">
        <v>5458</v>
      </c>
      <c r="F35" s="15" t="s">
        <v>5459</v>
      </c>
      <c r="G35" s="15"/>
      <c r="H35" s="16" t="s">
        <v>44</v>
      </c>
      <c r="I35" s="17"/>
      <c r="J35" s="17"/>
    </row>
    <row r="36" customFormat="false" ht="15" hidden="false" customHeight="false" outlineLevel="0" collapsed="false">
      <c r="A36" s="14" t="s">
        <v>5560</v>
      </c>
      <c r="B36" s="15" t="s">
        <v>5547</v>
      </c>
      <c r="C36" s="14" t="s">
        <v>5561</v>
      </c>
      <c r="D36" s="15"/>
      <c r="E36" s="14" t="s">
        <v>5458</v>
      </c>
      <c r="F36" s="15" t="s">
        <v>5459</v>
      </c>
      <c r="G36" s="14" t="s">
        <v>5562</v>
      </c>
      <c r="H36" s="16" t="s">
        <v>44</v>
      </c>
      <c r="I36" s="17"/>
      <c r="J36" s="17"/>
    </row>
    <row r="37" customFormat="false" ht="15" hidden="false" customHeight="false" outlineLevel="0" collapsed="false">
      <c r="A37" s="14" t="s">
        <v>5563</v>
      </c>
      <c r="B37" s="15" t="s">
        <v>5547</v>
      </c>
      <c r="C37" s="14" t="s">
        <v>5564</v>
      </c>
      <c r="D37" s="15"/>
      <c r="E37" s="14" t="s">
        <v>5458</v>
      </c>
      <c r="F37" s="15" t="s">
        <v>5459</v>
      </c>
      <c r="G37" s="15"/>
      <c r="H37" s="16" t="s">
        <v>44</v>
      </c>
      <c r="I37" s="17"/>
      <c r="J37" s="17"/>
    </row>
    <row r="38" customFormat="false" ht="15" hidden="false" customHeight="false" outlineLevel="0" collapsed="false">
      <c r="A38" s="14" t="s">
        <v>5565</v>
      </c>
      <c r="B38" s="15" t="s">
        <v>5547</v>
      </c>
      <c r="C38" s="14" t="s">
        <v>5566</v>
      </c>
      <c r="D38" s="15"/>
      <c r="E38" s="14" t="s">
        <v>5458</v>
      </c>
      <c r="F38" s="15" t="s">
        <v>5459</v>
      </c>
      <c r="G38" s="15"/>
      <c r="H38" s="16" t="s">
        <v>44</v>
      </c>
      <c r="I38" s="17"/>
      <c r="J38" s="17"/>
    </row>
    <row r="39" customFormat="false" ht="15" hidden="false" customHeight="false" outlineLevel="0" collapsed="false">
      <c r="A39" s="14" t="s">
        <v>5567</v>
      </c>
      <c r="B39" s="15" t="s">
        <v>5547</v>
      </c>
      <c r="C39" s="15" t="s">
        <v>5568</v>
      </c>
      <c r="D39" s="15" t="s">
        <v>5569</v>
      </c>
      <c r="E39" s="14" t="s">
        <v>5458</v>
      </c>
      <c r="F39" s="15" t="s">
        <v>5459</v>
      </c>
      <c r="G39" s="15"/>
      <c r="H39" s="16" t="s">
        <v>44</v>
      </c>
      <c r="I39" s="17"/>
      <c r="J39" s="17"/>
    </row>
    <row r="40" customFormat="false" ht="15" hidden="false" customHeight="false" outlineLevel="0" collapsed="false">
      <c r="A40" s="14" t="s">
        <v>5570</v>
      </c>
      <c r="B40" s="15" t="s">
        <v>5547</v>
      </c>
      <c r="C40" s="14" t="s">
        <v>5571</v>
      </c>
      <c r="D40" s="15"/>
      <c r="E40" s="14" t="s">
        <v>5458</v>
      </c>
      <c r="F40" s="15" t="s">
        <v>5459</v>
      </c>
      <c r="G40" s="15"/>
      <c r="H40" s="16" t="s">
        <v>44</v>
      </c>
      <c r="I40" s="17"/>
      <c r="J40" s="17"/>
    </row>
    <row r="41" customFormat="false" ht="15" hidden="false" customHeight="false" outlineLevel="0" collapsed="false">
      <c r="A41" s="14" t="s">
        <v>5572</v>
      </c>
      <c r="B41" s="15" t="s">
        <v>5547</v>
      </c>
      <c r="C41" s="14" t="s">
        <v>5573</v>
      </c>
      <c r="D41" s="15" t="s">
        <v>5574</v>
      </c>
      <c r="E41" s="14" t="s">
        <v>5458</v>
      </c>
      <c r="F41" s="15" t="s">
        <v>5478</v>
      </c>
      <c r="G41" s="15" t="s">
        <v>5575</v>
      </c>
      <c r="H41" s="16" t="s">
        <v>44</v>
      </c>
      <c r="I41" s="17"/>
      <c r="J41" s="17"/>
    </row>
    <row r="42" customFormat="false" ht="15" hidden="false" customHeight="false" outlineLevel="0" collapsed="false">
      <c r="A42" s="14" t="s">
        <v>5576</v>
      </c>
      <c r="B42" s="15" t="s">
        <v>5547</v>
      </c>
      <c r="C42" s="14" t="s">
        <v>5577</v>
      </c>
      <c r="D42" s="15"/>
      <c r="E42" s="14" t="s">
        <v>5458</v>
      </c>
      <c r="F42" s="15" t="s">
        <v>5459</v>
      </c>
      <c r="G42" s="15" t="s">
        <v>5578</v>
      </c>
      <c r="H42" s="16" t="s">
        <v>44</v>
      </c>
      <c r="I42" s="17"/>
      <c r="J42" s="17"/>
    </row>
    <row r="43" customFormat="false" ht="29.85" hidden="false" customHeight="false" outlineLevel="0" collapsed="false">
      <c r="A43" s="14" t="s">
        <v>5579</v>
      </c>
      <c r="B43" s="15" t="s">
        <v>5580</v>
      </c>
      <c r="C43" s="15" t="s">
        <v>5581</v>
      </c>
      <c r="D43" s="15" t="s">
        <v>5582</v>
      </c>
      <c r="E43" s="14" t="s">
        <v>5458</v>
      </c>
      <c r="F43" s="15" t="s">
        <v>5459</v>
      </c>
      <c r="G43" s="15"/>
      <c r="H43" s="16" t="s">
        <v>44</v>
      </c>
      <c r="I43" s="17"/>
      <c r="J43" s="17"/>
    </row>
    <row r="44" customFormat="false" ht="29.85" hidden="false" customHeight="false" outlineLevel="0" collapsed="false">
      <c r="A44" s="14" t="s">
        <v>5583</v>
      </c>
      <c r="B44" s="15" t="s">
        <v>5580</v>
      </c>
      <c r="C44" s="14" t="s">
        <v>5584</v>
      </c>
      <c r="D44" s="15"/>
      <c r="E44" s="14" t="s">
        <v>5458</v>
      </c>
      <c r="F44" s="15" t="s">
        <v>5459</v>
      </c>
      <c r="G44" s="15"/>
      <c r="H44" s="16" t="s">
        <v>44</v>
      </c>
      <c r="I44" s="17"/>
      <c r="J44" s="17"/>
    </row>
    <row r="45" customFormat="false" ht="29.85" hidden="false" customHeight="false" outlineLevel="0" collapsed="false">
      <c r="A45" s="14" t="s">
        <v>5585</v>
      </c>
      <c r="B45" s="15" t="s">
        <v>5580</v>
      </c>
      <c r="C45" s="14" t="s">
        <v>5586</v>
      </c>
      <c r="D45" s="15"/>
      <c r="E45" s="14" t="s">
        <v>5458</v>
      </c>
      <c r="F45" s="15" t="s">
        <v>5459</v>
      </c>
      <c r="G45" s="15"/>
      <c r="H45" s="16" t="s">
        <v>44</v>
      </c>
      <c r="I45" s="17"/>
      <c r="J45" s="17"/>
    </row>
    <row r="46" customFormat="false" ht="29.85" hidden="false" customHeight="false" outlineLevel="0" collapsed="false">
      <c r="A46" s="14" t="s">
        <v>5587</v>
      </c>
      <c r="B46" s="15" t="s">
        <v>5580</v>
      </c>
      <c r="C46" s="14" t="s">
        <v>5588</v>
      </c>
      <c r="D46" s="15"/>
      <c r="E46" s="14" t="s">
        <v>5458</v>
      </c>
      <c r="F46" s="15" t="s">
        <v>5459</v>
      </c>
      <c r="G46" s="15"/>
      <c r="H46" s="16" t="s">
        <v>44</v>
      </c>
      <c r="I46" s="17"/>
      <c r="J46" s="17"/>
    </row>
    <row r="47" customFormat="false" ht="29.85" hidden="false" customHeight="false" outlineLevel="0" collapsed="false">
      <c r="A47" s="14" t="s">
        <v>5589</v>
      </c>
      <c r="B47" s="15" t="s">
        <v>5580</v>
      </c>
      <c r="C47" s="14" t="s">
        <v>5590</v>
      </c>
      <c r="D47" s="15" t="s">
        <v>5591</v>
      </c>
      <c r="E47" s="14" t="s">
        <v>5458</v>
      </c>
      <c r="F47" s="15" t="s">
        <v>5459</v>
      </c>
      <c r="G47" s="15" t="s">
        <v>5592</v>
      </c>
      <c r="H47" s="16" t="s">
        <v>44</v>
      </c>
      <c r="I47" s="17"/>
      <c r="J47" s="17"/>
    </row>
    <row r="48" customFormat="false" ht="29.85" hidden="false" customHeight="false" outlineLevel="0" collapsed="false">
      <c r="A48" s="14" t="s">
        <v>5593</v>
      </c>
      <c r="B48" s="15" t="s">
        <v>5580</v>
      </c>
      <c r="C48" s="14" t="s">
        <v>5594</v>
      </c>
      <c r="D48" s="15"/>
      <c r="E48" s="14" t="s">
        <v>5458</v>
      </c>
      <c r="F48" s="15" t="s">
        <v>5459</v>
      </c>
      <c r="G48" s="15"/>
      <c r="H48" s="16" t="s">
        <v>44</v>
      </c>
      <c r="I48" s="17"/>
      <c r="J48" s="17"/>
    </row>
    <row r="49" customFormat="false" ht="29.85" hidden="false" customHeight="false" outlineLevel="0" collapsed="false">
      <c r="A49" s="14" t="s">
        <v>5595</v>
      </c>
      <c r="B49" s="15" t="s">
        <v>5580</v>
      </c>
      <c r="C49" s="14" t="s">
        <v>5596</v>
      </c>
      <c r="D49" s="15" t="s">
        <v>5597</v>
      </c>
      <c r="E49" s="14" t="s">
        <v>5458</v>
      </c>
      <c r="F49" s="15" t="s">
        <v>5478</v>
      </c>
      <c r="G49" s="15" t="s">
        <v>5598</v>
      </c>
      <c r="H49" s="16" t="s">
        <v>44</v>
      </c>
      <c r="I49" s="17"/>
      <c r="J49" s="17"/>
    </row>
    <row r="50" customFormat="false" ht="29.85" hidden="false" customHeight="false" outlineLevel="0" collapsed="false">
      <c r="A50" s="14" t="s">
        <v>5599</v>
      </c>
      <c r="B50" s="15" t="s">
        <v>5600</v>
      </c>
      <c r="C50" s="14" t="s">
        <v>5601</v>
      </c>
      <c r="D50" s="15" t="s">
        <v>5602</v>
      </c>
      <c r="E50" s="14" t="s">
        <v>5458</v>
      </c>
      <c r="F50" s="15" t="s">
        <v>5459</v>
      </c>
      <c r="G50" s="15" t="s">
        <v>5603</v>
      </c>
      <c r="H50" s="16" t="s">
        <v>44</v>
      </c>
      <c r="I50" s="17"/>
      <c r="J50" s="17"/>
    </row>
    <row r="51" customFormat="false" ht="29.85" hidden="false" customHeight="false" outlineLevel="0" collapsed="false">
      <c r="A51" s="14" t="s">
        <v>5604</v>
      </c>
      <c r="B51" s="15" t="s">
        <v>5600</v>
      </c>
      <c r="C51" s="14" t="s">
        <v>5605</v>
      </c>
      <c r="D51" s="15"/>
      <c r="E51" s="14" t="s">
        <v>5458</v>
      </c>
      <c r="F51" s="15" t="s">
        <v>5459</v>
      </c>
      <c r="G51" s="15"/>
      <c r="H51" s="16" t="s">
        <v>44</v>
      </c>
      <c r="I51" s="17"/>
      <c r="J51" s="17"/>
    </row>
    <row r="52" customFormat="false" ht="29.85" hidden="false" customHeight="false" outlineLevel="0" collapsed="false">
      <c r="A52" s="14" t="s">
        <v>5606</v>
      </c>
      <c r="B52" s="15" t="s">
        <v>5600</v>
      </c>
      <c r="C52" s="14" t="s">
        <v>5607</v>
      </c>
      <c r="D52" s="15"/>
      <c r="E52" s="14" t="s">
        <v>5458</v>
      </c>
      <c r="F52" s="15" t="s">
        <v>5459</v>
      </c>
      <c r="G52" s="15"/>
      <c r="H52" s="16" t="s">
        <v>44</v>
      </c>
      <c r="I52" s="17"/>
      <c r="J52" s="17"/>
    </row>
    <row r="53" customFormat="false" ht="29.85" hidden="false" customHeight="false" outlineLevel="0" collapsed="false">
      <c r="A53" s="14" t="s">
        <v>5608</v>
      </c>
      <c r="B53" s="15" t="s">
        <v>5600</v>
      </c>
      <c r="C53" s="15" t="s">
        <v>5609</v>
      </c>
      <c r="D53" s="15"/>
      <c r="E53" s="14" t="s">
        <v>5458</v>
      </c>
      <c r="F53" s="15" t="s">
        <v>5459</v>
      </c>
      <c r="G53" s="15"/>
      <c r="H53" s="16" t="s">
        <v>44</v>
      </c>
      <c r="I53" s="17"/>
      <c r="J53" s="17"/>
    </row>
    <row r="54" customFormat="false" ht="29.85" hidden="false" customHeight="false" outlineLevel="0" collapsed="false">
      <c r="A54" s="14" t="s">
        <v>5610</v>
      </c>
      <c r="B54" s="15" t="s">
        <v>5600</v>
      </c>
      <c r="C54" s="14" t="s">
        <v>5611</v>
      </c>
      <c r="D54" s="15"/>
      <c r="E54" s="14" t="s">
        <v>5458</v>
      </c>
      <c r="F54" s="15" t="s">
        <v>5459</v>
      </c>
      <c r="G54" s="14" t="s">
        <v>5612</v>
      </c>
      <c r="H54" s="16" t="s">
        <v>44</v>
      </c>
      <c r="I54" s="17"/>
      <c r="J54" s="17"/>
    </row>
    <row r="55" customFormat="false" ht="29.85" hidden="false" customHeight="false" outlineLevel="0" collapsed="false">
      <c r="A55" s="14" t="s">
        <v>5613</v>
      </c>
      <c r="B55" s="15" t="s">
        <v>5600</v>
      </c>
      <c r="C55" s="15" t="s">
        <v>5614</v>
      </c>
      <c r="D55" s="15"/>
      <c r="E55" s="14" t="s">
        <v>5458</v>
      </c>
      <c r="F55" s="15" t="s">
        <v>5459</v>
      </c>
      <c r="G55" s="15"/>
      <c r="H55" s="16" t="s">
        <v>44</v>
      </c>
      <c r="I55" s="17"/>
      <c r="J55" s="17"/>
    </row>
    <row r="56" customFormat="false" ht="29.85" hidden="false" customHeight="false" outlineLevel="0" collapsed="false">
      <c r="A56" s="14" t="s">
        <v>5615</v>
      </c>
      <c r="B56" s="15" t="s">
        <v>5600</v>
      </c>
      <c r="C56" s="14" t="s">
        <v>5616</v>
      </c>
      <c r="D56" s="15"/>
      <c r="E56" s="14" t="s">
        <v>5458</v>
      </c>
      <c r="F56" s="15" t="s">
        <v>5459</v>
      </c>
      <c r="G56" s="15"/>
      <c r="H56" s="16" t="s">
        <v>44</v>
      </c>
      <c r="I56" s="17"/>
      <c r="J56" s="17"/>
    </row>
    <row r="57" customFormat="false" ht="29.85" hidden="false" customHeight="false" outlineLevel="0" collapsed="false">
      <c r="A57" s="14" t="s">
        <v>5617</v>
      </c>
      <c r="B57" s="15" t="s">
        <v>5600</v>
      </c>
      <c r="C57" s="14" t="s">
        <v>5618</v>
      </c>
      <c r="D57" s="15"/>
      <c r="E57" s="14" t="s">
        <v>5458</v>
      </c>
      <c r="F57" s="15" t="s">
        <v>5459</v>
      </c>
      <c r="G57" s="15"/>
      <c r="H57" s="16" t="s">
        <v>44</v>
      </c>
      <c r="I57" s="17"/>
      <c r="J57" s="17"/>
    </row>
    <row r="58" customFormat="false" ht="29.85" hidden="false" customHeight="false" outlineLevel="0" collapsed="false">
      <c r="A58" s="14" t="s">
        <v>5619</v>
      </c>
      <c r="B58" s="15" t="s">
        <v>5600</v>
      </c>
      <c r="C58" s="14" t="s">
        <v>5620</v>
      </c>
      <c r="D58" s="15"/>
      <c r="E58" s="14" t="s">
        <v>5458</v>
      </c>
      <c r="F58" s="15" t="s">
        <v>5459</v>
      </c>
      <c r="G58" s="15" t="s">
        <v>5621</v>
      </c>
      <c r="H58" s="16" t="s">
        <v>44</v>
      </c>
      <c r="I58" s="17"/>
      <c r="J58" s="17"/>
    </row>
    <row r="59" customFormat="false" ht="15" hidden="false" customHeight="false" outlineLevel="0" collapsed="false">
      <c r="A59" s="14" t="s">
        <v>5622</v>
      </c>
      <c r="B59" s="15" t="s">
        <v>5623</v>
      </c>
      <c r="C59" s="15" t="s">
        <v>5624</v>
      </c>
      <c r="D59" s="15" t="s">
        <v>5625</v>
      </c>
      <c r="E59" s="14" t="s">
        <v>5458</v>
      </c>
      <c r="F59" s="15" t="s">
        <v>5478</v>
      </c>
      <c r="G59" s="15" t="s">
        <v>5626</v>
      </c>
      <c r="H59" s="16" t="s">
        <v>44</v>
      </c>
      <c r="I59" s="17"/>
      <c r="J59" s="17"/>
    </row>
    <row r="60" customFormat="false" ht="15" hidden="false" customHeight="false" outlineLevel="0" collapsed="false">
      <c r="A60" s="14" t="s">
        <v>5627</v>
      </c>
      <c r="B60" s="15" t="s">
        <v>5623</v>
      </c>
      <c r="C60" s="14" t="s">
        <v>5628</v>
      </c>
      <c r="D60" s="15"/>
      <c r="E60" s="14" t="s">
        <v>5458</v>
      </c>
      <c r="F60" s="15" t="s">
        <v>5459</v>
      </c>
      <c r="G60" s="15"/>
      <c r="H60" s="16" t="s">
        <v>44</v>
      </c>
      <c r="I60" s="17"/>
      <c r="J60" s="17"/>
    </row>
    <row r="61" customFormat="false" ht="15" hidden="false" customHeight="false" outlineLevel="0" collapsed="false">
      <c r="A61" s="14" t="s">
        <v>5629</v>
      </c>
      <c r="B61" s="15" t="s">
        <v>5623</v>
      </c>
      <c r="C61" s="14" t="s">
        <v>5630</v>
      </c>
      <c r="D61" s="15"/>
      <c r="E61" s="14" t="s">
        <v>5458</v>
      </c>
      <c r="F61" s="15" t="s">
        <v>5459</v>
      </c>
      <c r="G61" s="15"/>
      <c r="H61" s="16" t="s">
        <v>44</v>
      </c>
      <c r="I61" s="17"/>
      <c r="J61" s="17"/>
    </row>
    <row r="62" customFormat="false" ht="15" hidden="false" customHeight="false" outlineLevel="0" collapsed="false">
      <c r="A62" s="14" t="s">
        <v>5631</v>
      </c>
      <c r="B62" s="15" t="s">
        <v>5623</v>
      </c>
      <c r="C62" s="15" t="s">
        <v>5632</v>
      </c>
      <c r="D62" s="15"/>
      <c r="E62" s="14" t="s">
        <v>5458</v>
      </c>
      <c r="F62" s="15" t="s">
        <v>5459</v>
      </c>
      <c r="G62" s="15"/>
      <c r="H62" s="16" t="s">
        <v>44</v>
      </c>
      <c r="I62" s="17"/>
      <c r="J62" s="17"/>
    </row>
    <row r="63" customFormat="false" ht="15" hidden="false" customHeight="false" outlineLevel="0" collapsed="false">
      <c r="A63" s="14" t="s">
        <v>5633</v>
      </c>
      <c r="B63" s="15" t="s">
        <v>5623</v>
      </c>
      <c r="C63" s="14" t="s">
        <v>5634</v>
      </c>
      <c r="D63" s="15"/>
      <c r="E63" s="14" t="s">
        <v>5458</v>
      </c>
      <c r="F63" s="15" t="s">
        <v>5459</v>
      </c>
      <c r="G63" s="15"/>
      <c r="H63" s="16" t="s">
        <v>44</v>
      </c>
      <c r="I63" s="17"/>
      <c r="J63" s="17"/>
    </row>
    <row r="64" customFormat="false" ht="15" hidden="false" customHeight="false" outlineLevel="0" collapsed="false">
      <c r="A64" s="14" t="s">
        <v>5635</v>
      </c>
      <c r="B64" s="15" t="s">
        <v>5623</v>
      </c>
      <c r="C64" s="14" t="s">
        <v>5636</v>
      </c>
      <c r="D64" s="15" t="s">
        <v>5637</v>
      </c>
      <c r="E64" s="14" t="s">
        <v>5458</v>
      </c>
      <c r="F64" s="15" t="s">
        <v>5478</v>
      </c>
      <c r="G64" s="15" t="s">
        <v>5638</v>
      </c>
      <c r="H64" s="16" t="s">
        <v>44</v>
      </c>
      <c r="I64" s="17"/>
      <c r="J64" s="17"/>
    </row>
    <row r="65" customFormat="false" ht="15" hidden="false" customHeight="false" outlineLevel="0" collapsed="false">
      <c r="A65" s="14" t="s">
        <v>5639</v>
      </c>
      <c r="B65" s="15" t="s">
        <v>5640</v>
      </c>
      <c r="C65" s="14" t="s">
        <v>5641</v>
      </c>
      <c r="D65" s="15"/>
      <c r="E65" s="14" t="s">
        <v>5458</v>
      </c>
      <c r="F65" s="15" t="s">
        <v>5459</v>
      </c>
      <c r="G65" s="15" t="s">
        <v>5642</v>
      </c>
      <c r="H65" s="16" t="s">
        <v>44</v>
      </c>
      <c r="I65" s="17"/>
      <c r="J65" s="17"/>
    </row>
    <row r="66" customFormat="false" ht="15" hidden="false" customHeight="false" outlineLevel="0" collapsed="false">
      <c r="A66" s="14" t="s">
        <v>5643</v>
      </c>
      <c r="B66" s="15" t="s">
        <v>5640</v>
      </c>
      <c r="C66" s="15" t="s">
        <v>5644</v>
      </c>
      <c r="D66" s="15"/>
      <c r="E66" s="14" t="s">
        <v>5458</v>
      </c>
      <c r="F66" s="15" t="s">
        <v>5459</v>
      </c>
      <c r="G66" s="15"/>
      <c r="H66" s="16" t="s">
        <v>44</v>
      </c>
      <c r="I66" s="17"/>
      <c r="J66" s="17"/>
    </row>
    <row r="67" customFormat="false" ht="15" hidden="false" customHeight="false" outlineLevel="0" collapsed="false">
      <c r="A67" s="14" t="s">
        <v>5645</v>
      </c>
      <c r="B67" s="15" t="s">
        <v>5640</v>
      </c>
      <c r="C67" s="14" t="s">
        <v>5646</v>
      </c>
      <c r="D67" s="15"/>
      <c r="E67" s="14" t="s">
        <v>5458</v>
      </c>
      <c r="F67" s="15" t="s">
        <v>5459</v>
      </c>
      <c r="G67" s="15" t="s">
        <v>5647</v>
      </c>
      <c r="H67" s="16" t="s">
        <v>44</v>
      </c>
      <c r="I67" s="17"/>
      <c r="J67" s="17"/>
    </row>
    <row r="68" customFormat="false" ht="15" hidden="false" customHeight="false" outlineLevel="0" collapsed="false">
      <c r="A68" s="14" t="s">
        <v>5648</v>
      </c>
      <c r="B68" s="15" t="s">
        <v>5640</v>
      </c>
      <c r="C68" s="14" t="s">
        <v>5649</v>
      </c>
      <c r="D68" s="15" t="s">
        <v>5650</v>
      </c>
      <c r="E68" s="14" t="s">
        <v>5458</v>
      </c>
      <c r="F68" s="15" t="s">
        <v>5459</v>
      </c>
      <c r="G68" s="15" t="s">
        <v>5651</v>
      </c>
      <c r="H68" s="16" t="s">
        <v>44</v>
      </c>
      <c r="I68" s="17"/>
      <c r="J68" s="17"/>
    </row>
    <row r="69" customFormat="false" ht="15" hidden="false" customHeight="false" outlineLevel="0" collapsed="false">
      <c r="A69" s="14" t="s">
        <v>5652</v>
      </c>
      <c r="B69" s="15" t="s">
        <v>5640</v>
      </c>
      <c r="C69" s="14" t="s">
        <v>5653</v>
      </c>
      <c r="D69" s="15"/>
      <c r="E69" s="14" t="s">
        <v>5458</v>
      </c>
      <c r="F69" s="15" t="s">
        <v>5459</v>
      </c>
      <c r="G69" s="15" t="s">
        <v>5654</v>
      </c>
      <c r="H69" s="16" t="s">
        <v>44</v>
      </c>
      <c r="I69" s="17"/>
      <c r="J69" s="17"/>
    </row>
    <row r="70" customFormat="false" ht="15" hidden="false" customHeight="false" outlineLevel="0" collapsed="false">
      <c r="A70" s="14" t="s">
        <v>5655</v>
      </c>
      <c r="B70" s="15" t="s">
        <v>5640</v>
      </c>
      <c r="C70" s="15" t="s">
        <v>5656</v>
      </c>
      <c r="D70" s="15"/>
      <c r="E70" s="14" t="s">
        <v>5458</v>
      </c>
      <c r="F70" s="15" t="s">
        <v>5478</v>
      </c>
      <c r="G70" s="15"/>
      <c r="H70" s="16" t="s">
        <v>44</v>
      </c>
      <c r="I70" s="17"/>
      <c r="J70" s="17"/>
    </row>
    <row r="71" customFormat="false" ht="15" hidden="false" customHeight="false" outlineLevel="0" collapsed="false">
      <c r="A71" s="14" t="s">
        <v>5657</v>
      </c>
      <c r="B71" s="15" t="s">
        <v>5658</v>
      </c>
      <c r="C71" s="14" t="s">
        <v>5659</v>
      </c>
      <c r="D71" s="15"/>
      <c r="E71" s="14" t="s">
        <v>5458</v>
      </c>
      <c r="F71" s="15" t="s">
        <v>5478</v>
      </c>
      <c r="G71" s="14" t="s">
        <v>5660</v>
      </c>
      <c r="H71" s="16" t="s">
        <v>44</v>
      </c>
      <c r="I71" s="17"/>
      <c r="J71" s="17"/>
    </row>
    <row r="72" customFormat="false" ht="15" hidden="false" customHeight="false" outlineLevel="0" collapsed="false">
      <c r="A72" s="14" t="s">
        <v>5661</v>
      </c>
      <c r="B72" s="15" t="s">
        <v>5658</v>
      </c>
      <c r="C72" s="15" t="s">
        <v>5662</v>
      </c>
      <c r="D72" s="15"/>
      <c r="E72" s="14" t="s">
        <v>5458</v>
      </c>
      <c r="F72" s="15" t="s">
        <v>5478</v>
      </c>
      <c r="G72" s="15"/>
      <c r="H72" s="16" t="s">
        <v>44</v>
      </c>
      <c r="I72" s="17"/>
      <c r="J72" s="17"/>
    </row>
    <row r="73" customFormat="false" ht="15" hidden="false" customHeight="false" outlineLevel="0" collapsed="false">
      <c r="A73" s="14" t="s">
        <v>5663</v>
      </c>
      <c r="B73" s="15" t="s">
        <v>5658</v>
      </c>
      <c r="C73" s="14" t="s">
        <v>5664</v>
      </c>
      <c r="D73" s="15"/>
      <c r="E73" s="14" t="s">
        <v>5458</v>
      </c>
      <c r="F73" s="15" t="s">
        <v>5459</v>
      </c>
      <c r="G73" s="15" t="s">
        <v>5665</v>
      </c>
      <c r="H73" s="16" t="s">
        <v>44</v>
      </c>
      <c r="I73" s="17"/>
      <c r="J73" s="17"/>
    </row>
    <row r="74" customFormat="false" ht="15" hidden="false" customHeight="false" outlineLevel="0" collapsed="false">
      <c r="A74" s="14" t="s">
        <v>5666</v>
      </c>
      <c r="B74" s="15" t="s">
        <v>5667</v>
      </c>
      <c r="C74" s="14" t="s">
        <v>5668</v>
      </c>
      <c r="D74" s="15" t="s">
        <v>5669</v>
      </c>
      <c r="E74" s="14" t="s">
        <v>5458</v>
      </c>
      <c r="F74" s="15" t="s">
        <v>5459</v>
      </c>
      <c r="G74" s="15" t="s">
        <v>5670</v>
      </c>
      <c r="H74" s="16" t="s">
        <v>44</v>
      </c>
      <c r="I74" s="17"/>
      <c r="J74" s="17"/>
    </row>
    <row r="75" customFormat="false" ht="15" hidden="false" customHeight="false" outlineLevel="0" collapsed="false">
      <c r="A75" s="14" t="s">
        <v>5671</v>
      </c>
      <c r="B75" s="15" t="s">
        <v>5667</v>
      </c>
      <c r="C75" s="14" t="s">
        <v>5672</v>
      </c>
      <c r="D75" s="15"/>
      <c r="E75" s="14" t="s">
        <v>5458</v>
      </c>
      <c r="F75" s="15" t="s">
        <v>5459</v>
      </c>
      <c r="G75" s="15" t="s">
        <v>5673</v>
      </c>
      <c r="H75" s="16" t="s">
        <v>44</v>
      </c>
      <c r="I75" s="17"/>
      <c r="J75" s="17"/>
    </row>
    <row r="76" customFormat="false" ht="29.85" hidden="false" customHeight="false" outlineLevel="0" collapsed="false">
      <c r="A76" s="14" t="s">
        <v>5674</v>
      </c>
      <c r="B76" s="15" t="s">
        <v>5667</v>
      </c>
      <c r="C76" s="14" t="s">
        <v>5675</v>
      </c>
      <c r="D76" s="14" t="s">
        <v>5676</v>
      </c>
      <c r="E76" s="14" t="s">
        <v>5677</v>
      </c>
      <c r="F76" s="15" t="s">
        <v>5459</v>
      </c>
      <c r="G76" s="15" t="s">
        <v>5678</v>
      </c>
      <c r="H76" s="16" t="s">
        <v>44</v>
      </c>
      <c r="I76" s="17"/>
      <c r="J76" s="17"/>
    </row>
    <row r="77" customFormat="false" ht="15" hidden="false" customHeight="false" outlineLevel="0" collapsed="false">
      <c r="A77" s="14" t="s">
        <v>5679</v>
      </c>
      <c r="B77" s="15" t="s">
        <v>5667</v>
      </c>
      <c r="C77" s="14" t="s">
        <v>5680</v>
      </c>
      <c r="D77" s="15" t="s">
        <v>5681</v>
      </c>
      <c r="E77" s="14" t="s">
        <v>5458</v>
      </c>
      <c r="F77" s="15" t="s">
        <v>5478</v>
      </c>
      <c r="G77" s="14" t="s">
        <v>5682</v>
      </c>
      <c r="H77" s="16" t="s">
        <v>44</v>
      </c>
      <c r="I77" s="17"/>
      <c r="J77" s="17"/>
    </row>
    <row r="78" customFormat="false" ht="15" hidden="false" customHeight="false" outlineLevel="0" collapsed="false">
      <c r="A78" s="14" t="s">
        <v>5683</v>
      </c>
      <c r="B78" s="15" t="s">
        <v>5667</v>
      </c>
      <c r="C78" s="15" t="s">
        <v>5684</v>
      </c>
      <c r="D78" s="15" t="s">
        <v>5685</v>
      </c>
      <c r="E78" s="14" t="s">
        <v>5458</v>
      </c>
      <c r="F78" s="15" t="s">
        <v>5478</v>
      </c>
      <c r="G78" s="15" t="s">
        <v>5686</v>
      </c>
      <c r="H78" s="16" t="s">
        <v>44</v>
      </c>
      <c r="I78" s="17"/>
      <c r="J78" s="17"/>
    </row>
    <row r="79" customFormat="false" ht="15" hidden="false" customHeight="false" outlineLevel="0" collapsed="false">
      <c r="A79" s="14" t="s">
        <v>5687</v>
      </c>
      <c r="B79" s="15" t="s">
        <v>5667</v>
      </c>
      <c r="C79" s="14" t="s">
        <v>5688</v>
      </c>
      <c r="D79" s="15"/>
      <c r="E79" s="14" t="s">
        <v>5458</v>
      </c>
      <c r="F79" s="15" t="s">
        <v>5478</v>
      </c>
      <c r="G79" s="15" t="s">
        <v>5689</v>
      </c>
      <c r="H79" s="16" t="s">
        <v>44</v>
      </c>
      <c r="I79" s="17"/>
      <c r="J79" s="17"/>
    </row>
    <row r="80" customFormat="false" ht="15" hidden="false" customHeight="false" outlineLevel="0" collapsed="false">
      <c r="A80" s="14" t="s">
        <v>5690</v>
      </c>
      <c r="B80" s="15" t="s">
        <v>5667</v>
      </c>
      <c r="C80" s="14" t="s">
        <v>5691</v>
      </c>
      <c r="D80" s="15"/>
      <c r="E80" s="14" t="s">
        <v>5458</v>
      </c>
      <c r="F80" s="15" t="s">
        <v>5478</v>
      </c>
      <c r="G80" s="15" t="s">
        <v>5692</v>
      </c>
      <c r="H80" s="16" t="s">
        <v>44</v>
      </c>
      <c r="I80" s="17"/>
      <c r="J80" s="17"/>
    </row>
  </sheetData>
  <autoFilter ref="A1:J80"/>
  <dataValidations count="1">
    <dataValidation allowBlank="false" errorStyle="stop" operator="between" showDropDown="false" showErrorMessage="false" showInputMessage="false" sqref="H2:H8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31.9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148</v>
      </c>
      <c r="B1" s="13" t="s">
        <v>3510</v>
      </c>
      <c r="C1" s="13" t="s">
        <v>5693</v>
      </c>
      <c r="D1" s="13" t="s">
        <v>5694</v>
      </c>
      <c r="E1" s="13" t="s">
        <v>5313</v>
      </c>
      <c r="F1" s="13" t="s">
        <v>2027</v>
      </c>
      <c r="G1" s="13" t="s">
        <v>160</v>
      </c>
      <c r="H1" s="13" t="s">
        <v>161</v>
      </c>
      <c r="I1" s="13" t="s">
        <v>162</v>
      </c>
    </row>
    <row r="2" customFormat="false" ht="29.85" hidden="false" customHeight="false" outlineLevel="0" collapsed="false">
      <c r="A2" s="14" t="s">
        <v>5695</v>
      </c>
      <c r="B2" s="15" t="s">
        <v>5696</v>
      </c>
      <c r="C2" s="15" t="s">
        <v>247</v>
      </c>
      <c r="D2" s="14" t="s">
        <v>1507</v>
      </c>
      <c r="E2" s="14" t="s">
        <v>5697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5698</v>
      </c>
      <c r="B3" s="15" t="s">
        <v>5696</v>
      </c>
      <c r="C3" s="15" t="s">
        <v>256</v>
      </c>
      <c r="D3" s="14" t="s">
        <v>1517</v>
      </c>
      <c r="E3" s="14" t="s">
        <v>5697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5699</v>
      </c>
      <c r="B4" s="15" t="s">
        <v>5696</v>
      </c>
      <c r="C4" s="15" t="s">
        <v>1042</v>
      </c>
      <c r="D4" s="14" t="s">
        <v>1517</v>
      </c>
      <c r="E4" s="14" t="s">
        <v>5697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5700</v>
      </c>
      <c r="B5" s="15" t="s">
        <v>5696</v>
      </c>
      <c r="C5" s="15" t="s">
        <v>1192</v>
      </c>
      <c r="D5" s="14" t="s">
        <v>5701</v>
      </c>
      <c r="E5" s="14" t="s">
        <v>5697</v>
      </c>
      <c r="F5" s="15"/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5702</v>
      </c>
      <c r="B6" s="15" t="s">
        <v>5696</v>
      </c>
      <c r="C6" s="15" t="s">
        <v>1342</v>
      </c>
      <c r="D6" s="14" t="s">
        <v>1517</v>
      </c>
      <c r="E6" s="14" t="s">
        <v>5697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5703</v>
      </c>
      <c r="B7" s="15" t="s">
        <v>5696</v>
      </c>
      <c r="C7" s="15" t="s">
        <v>170</v>
      </c>
      <c r="D7" s="14" t="s">
        <v>5704</v>
      </c>
      <c r="E7" s="14" t="s">
        <v>5697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5705</v>
      </c>
      <c r="B8" s="15" t="s">
        <v>5696</v>
      </c>
      <c r="C8" s="15" t="s">
        <v>182</v>
      </c>
      <c r="D8" s="14" t="s">
        <v>1498</v>
      </c>
      <c r="E8" s="14" t="s">
        <v>5697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5706</v>
      </c>
      <c r="B9" s="15" t="s">
        <v>5696</v>
      </c>
      <c r="C9" s="15" t="s">
        <v>193</v>
      </c>
      <c r="D9" s="14" t="s">
        <v>1498</v>
      </c>
      <c r="E9" s="14" t="s">
        <v>5697</v>
      </c>
      <c r="F9" s="15"/>
      <c r="G9" s="16" t="s">
        <v>44</v>
      </c>
      <c r="H9" s="17"/>
      <c r="I9" s="17"/>
    </row>
    <row r="10" customFormat="false" ht="15" hidden="false" customHeight="false" outlineLevel="0" collapsed="false">
      <c r="A10" s="14" t="s">
        <v>5707</v>
      </c>
      <c r="B10" s="15" t="s">
        <v>5708</v>
      </c>
      <c r="C10" s="15" t="s">
        <v>212</v>
      </c>
      <c r="D10" s="14" t="s">
        <v>1517</v>
      </c>
      <c r="E10" s="15" t="s">
        <v>5709</v>
      </c>
      <c r="F10" s="15"/>
      <c r="G10" s="16" t="s">
        <v>44</v>
      </c>
      <c r="H10" s="17"/>
      <c r="I10" s="17"/>
    </row>
    <row r="11" customFormat="false" ht="15" hidden="false" customHeight="false" outlineLevel="0" collapsed="false">
      <c r="A11" s="14" t="s">
        <v>5710</v>
      </c>
      <c r="B11" s="15" t="s">
        <v>5708</v>
      </c>
      <c r="C11" s="15" t="s">
        <v>203</v>
      </c>
      <c r="D11" s="14" t="s">
        <v>1517</v>
      </c>
      <c r="E11" s="15" t="s">
        <v>5709</v>
      </c>
      <c r="F11" s="15"/>
      <c r="G11" s="16" t="s">
        <v>44</v>
      </c>
      <c r="H11" s="17"/>
      <c r="I11" s="17"/>
    </row>
    <row r="12" customFormat="false" ht="15" hidden="false" customHeight="false" outlineLevel="0" collapsed="false">
      <c r="A12" s="14" t="s">
        <v>5711</v>
      </c>
      <c r="B12" s="15" t="s">
        <v>5708</v>
      </c>
      <c r="C12" s="15" t="s">
        <v>838</v>
      </c>
      <c r="D12" s="14" t="s">
        <v>5701</v>
      </c>
      <c r="E12" s="15" t="s">
        <v>5709</v>
      </c>
      <c r="F12" s="15"/>
      <c r="G12" s="16" t="s">
        <v>44</v>
      </c>
      <c r="H12" s="17"/>
      <c r="I12" s="17"/>
    </row>
    <row r="13" customFormat="false" ht="15" hidden="false" customHeight="false" outlineLevel="0" collapsed="false">
      <c r="A13" s="14" t="s">
        <v>5712</v>
      </c>
      <c r="B13" s="15" t="s">
        <v>5708</v>
      </c>
      <c r="C13" s="15" t="s">
        <v>860</v>
      </c>
      <c r="D13" s="14" t="s">
        <v>5701</v>
      </c>
      <c r="E13" s="15" t="s">
        <v>5709</v>
      </c>
      <c r="F13" s="15"/>
      <c r="G13" s="16" t="s">
        <v>44</v>
      </c>
      <c r="H13" s="17"/>
      <c r="I13" s="17"/>
    </row>
    <row r="14" customFormat="false" ht="15" hidden="false" customHeight="false" outlineLevel="0" collapsed="false">
      <c r="A14" s="14" t="s">
        <v>5713</v>
      </c>
      <c r="B14" s="15" t="s">
        <v>5708</v>
      </c>
      <c r="C14" s="15" t="s">
        <v>193</v>
      </c>
      <c r="D14" s="14" t="s">
        <v>1507</v>
      </c>
      <c r="E14" s="15" t="s">
        <v>5709</v>
      </c>
      <c r="F14" s="15"/>
      <c r="G14" s="16" t="s">
        <v>44</v>
      </c>
      <c r="H14" s="17"/>
      <c r="I14" s="17"/>
    </row>
    <row r="15" customFormat="false" ht="15" hidden="false" customHeight="false" outlineLevel="0" collapsed="false">
      <c r="A15" s="14" t="s">
        <v>5714</v>
      </c>
      <c r="B15" s="15" t="s">
        <v>5708</v>
      </c>
      <c r="C15" s="15" t="s">
        <v>182</v>
      </c>
      <c r="D15" s="14" t="s">
        <v>1507</v>
      </c>
      <c r="E15" s="15" t="s">
        <v>5709</v>
      </c>
      <c r="F15" s="15"/>
      <c r="G15" s="16" t="s">
        <v>44</v>
      </c>
      <c r="H15" s="17"/>
      <c r="I15" s="17"/>
    </row>
    <row r="16" customFormat="false" ht="15" hidden="false" customHeight="false" outlineLevel="0" collapsed="false">
      <c r="A16" s="14" t="s">
        <v>5715</v>
      </c>
      <c r="B16" s="15" t="s">
        <v>5708</v>
      </c>
      <c r="C16" s="15" t="s">
        <v>170</v>
      </c>
      <c r="D16" s="14" t="s">
        <v>1507</v>
      </c>
      <c r="E16" s="15" t="s">
        <v>5709</v>
      </c>
      <c r="F16" s="15"/>
      <c r="G16" s="16" t="s">
        <v>44</v>
      </c>
      <c r="H16" s="17"/>
      <c r="I16" s="17"/>
    </row>
    <row r="17" customFormat="false" ht="15" hidden="false" customHeight="false" outlineLevel="0" collapsed="false">
      <c r="A17" s="14" t="s">
        <v>5716</v>
      </c>
      <c r="B17" s="15" t="s">
        <v>5717</v>
      </c>
      <c r="C17" s="15" t="s">
        <v>727</v>
      </c>
      <c r="D17" s="14" t="s">
        <v>5718</v>
      </c>
      <c r="E17" s="15" t="s">
        <v>5719</v>
      </c>
      <c r="F17" s="15"/>
      <c r="G17" s="16" t="s">
        <v>44</v>
      </c>
      <c r="H17" s="17"/>
      <c r="I17" s="17"/>
    </row>
    <row r="18" customFormat="false" ht="15" hidden="false" customHeight="false" outlineLevel="0" collapsed="false">
      <c r="A18" s="14" t="s">
        <v>5720</v>
      </c>
      <c r="B18" s="15" t="s">
        <v>5717</v>
      </c>
      <c r="C18" s="15" t="s">
        <v>3587</v>
      </c>
      <c r="D18" s="14" t="s">
        <v>5721</v>
      </c>
      <c r="E18" s="15" t="s">
        <v>5719</v>
      </c>
      <c r="F18" s="15"/>
      <c r="G18" s="16" t="s">
        <v>44</v>
      </c>
      <c r="H18" s="17"/>
      <c r="I18" s="17"/>
    </row>
    <row r="19" customFormat="false" ht="15" hidden="false" customHeight="false" outlineLevel="0" collapsed="false">
      <c r="A19" s="14" t="s">
        <v>5722</v>
      </c>
      <c r="B19" s="15" t="s">
        <v>5717</v>
      </c>
      <c r="C19" s="15" t="s">
        <v>3578</v>
      </c>
      <c r="D19" s="14" t="s">
        <v>5721</v>
      </c>
      <c r="E19" s="15" t="s">
        <v>5719</v>
      </c>
      <c r="F19" s="15"/>
      <c r="G19" s="16" t="s">
        <v>44</v>
      </c>
      <c r="H19" s="17"/>
      <c r="I19" s="17"/>
    </row>
    <row r="20" customFormat="false" ht="15" hidden="false" customHeight="false" outlineLevel="0" collapsed="false">
      <c r="A20" s="14" t="s">
        <v>5723</v>
      </c>
      <c r="B20" s="15" t="s">
        <v>5717</v>
      </c>
      <c r="C20" s="15" t="s">
        <v>3583</v>
      </c>
      <c r="D20" s="14" t="s">
        <v>5724</v>
      </c>
      <c r="E20" s="15" t="s">
        <v>5719</v>
      </c>
      <c r="F20" s="15"/>
      <c r="G20" s="16" t="s">
        <v>44</v>
      </c>
      <c r="H20" s="17"/>
      <c r="I20" s="17"/>
    </row>
    <row r="21" customFormat="false" ht="15" hidden="false" customHeight="false" outlineLevel="0" collapsed="false">
      <c r="A21" s="14" t="s">
        <v>5725</v>
      </c>
      <c r="B21" s="15" t="s">
        <v>5717</v>
      </c>
      <c r="C21" s="15" t="s">
        <v>3572</v>
      </c>
      <c r="D21" s="14" t="s">
        <v>5726</v>
      </c>
      <c r="E21" s="15" t="s">
        <v>5719</v>
      </c>
      <c r="F21" s="15"/>
      <c r="G21" s="16" t="s">
        <v>44</v>
      </c>
      <c r="H21" s="17"/>
      <c r="I21" s="17"/>
    </row>
    <row r="22" customFormat="false" ht="15" hidden="false" customHeight="false" outlineLevel="0" collapsed="false">
      <c r="A22" s="14" t="s">
        <v>5727</v>
      </c>
      <c r="B22" s="15" t="s">
        <v>5728</v>
      </c>
      <c r="C22" s="14" t="s">
        <v>5729</v>
      </c>
      <c r="D22" s="14" t="s">
        <v>5730</v>
      </c>
      <c r="E22" s="15"/>
      <c r="F22" s="15"/>
      <c r="G22" s="16" t="s">
        <v>44</v>
      </c>
      <c r="H22" s="17"/>
      <c r="I22" s="17"/>
    </row>
    <row r="23" customFormat="false" ht="15" hidden="false" customHeight="false" outlineLevel="0" collapsed="false">
      <c r="A23" s="14" t="s">
        <v>5731</v>
      </c>
      <c r="B23" s="15" t="s">
        <v>5728</v>
      </c>
      <c r="C23" s="14" t="s">
        <v>5732</v>
      </c>
      <c r="D23" s="14" t="s">
        <v>5718</v>
      </c>
      <c r="E23" s="15"/>
      <c r="F23" s="15"/>
      <c r="G23" s="16" t="s">
        <v>44</v>
      </c>
      <c r="H23" s="17"/>
      <c r="I23" s="17"/>
    </row>
    <row r="24" customFormat="false" ht="15" hidden="false" customHeight="false" outlineLevel="0" collapsed="false">
      <c r="A24" s="14" t="s">
        <v>5733</v>
      </c>
      <c r="B24" s="15" t="s">
        <v>5728</v>
      </c>
      <c r="C24" s="14" t="s">
        <v>5734</v>
      </c>
      <c r="D24" s="14" t="s">
        <v>5735</v>
      </c>
      <c r="E24" s="15" t="s">
        <v>5736</v>
      </c>
      <c r="F24" s="15"/>
      <c r="G24" s="16" t="s">
        <v>44</v>
      </c>
      <c r="H24" s="17"/>
      <c r="I24" s="17"/>
    </row>
    <row r="25" customFormat="false" ht="15" hidden="false" customHeight="false" outlineLevel="0" collapsed="false">
      <c r="A25" s="14" t="s">
        <v>5737</v>
      </c>
      <c r="B25" s="15" t="s">
        <v>5738</v>
      </c>
      <c r="C25" s="15" t="s">
        <v>5739</v>
      </c>
      <c r="D25" s="14" t="s">
        <v>5740</v>
      </c>
      <c r="E25" s="15"/>
      <c r="F25" s="15"/>
      <c r="G25" s="16" t="s">
        <v>44</v>
      </c>
      <c r="H25" s="17"/>
      <c r="I25" s="17"/>
    </row>
    <row r="26" customFormat="false" ht="15" hidden="false" customHeight="false" outlineLevel="0" collapsed="false">
      <c r="A26" s="14" t="s">
        <v>5741</v>
      </c>
      <c r="B26" s="15" t="s">
        <v>5738</v>
      </c>
      <c r="C26" s="15" t="s">
        <v>5742</v>
      </c>
      <c r="D26" s="14" t="s">
        <v>5743</v>
      </c>
      <c r="E26" s="15"/>
      <c r="F26" s="15"/>
      <c r="G26" s="16" t="s">
        <v>44</v>
      </c>
      <c r="H26" s="17"/>
      <c r="I26" s="17"/>
    </row>
    <row r="27" customFormat="false" ht="15" hidden="false" customHeight="false" outlineLevel="0" collapsed="false">
      <c r="A27" s="14" t="s">
        <v>5744</v>
      </c>
      <c r="B27" s="15" t="s">
        <v>5738</v>
      </c>
      <c r="C27" s="15" t="s">
        <v>5745</v>
      </c>
      <c r="D27" s="14" t="s">
        <v>5743</v>
      </c>
      <c r="E27" s="15"/>
      <c r="F27" s="15"/>
      <c r="G27" s="16" t="s">
        <v>44</v>
      </c>
      <c r="H27" s="17"/>
      <c r="I27" s="17"/>
    </row>
    <row r="28" customFormat="false" ht="15" hidden="false" customHeight="false" outlineLevel="0" collapsed="false">
      <c r="A28" s="14" t="s">
        <v>5746</v>
      </c>
      <c r="B28" s="15" t="s">
        <v>5738</v>
      </c>
      <c r="C28" s="15" t="s">
        <v>5747</v>
      </c>
      <c r="D28" s="14" t="s">
        <v>5748</v>
      </c>
      <c r="E28" s="15" t="s">
        <v>5749</v>
      </c>
      <c r="F28" s="15"/>
      <c r="G28" s="16" t="s">
        <v>44</v>
      </c>
      <c r="H28" s="17"/>
      <c r="I28" s="17"/>
    </row>
    <row r="29" customFormat="false" ht="15" hidden="false" customHeight="false" outlineLevel="0" collapsed="false">
      <c r="A29" s="14" t="s">
        <v>5750</v>
      </c>
      <c r="B29" s="15" t="s">
        <v>5751</v>
      </c>
      <c r="C29" s="15" t="s">
        <v>5752</v>
      </c>
      <c r="D29" s="14" t="s">
        <v>5753</v>
      </c>
      <c r="E29" s="15" t="s">
        <v>5754</v>
      </c>
      <c r="F29" s="15"/>
      <c r="G29" s="16" t="s">
        <v>44</v>
      </c>
      <c r="H29" s="17"/>
      <c r="I29" s="17"/>
    </row>
    <row r="30" customFormat="false" ht="15" hidden="false" customHeight="false" outlineLevel="0" collapsed="false">
      <c r="A30" s="14" t="s">
        <v>5755</v>
      </c>
      <c r="B30" s="15" t="s">
        <v>5756</v>
      </c>
      <c r="C30" s="14" t="s">
        <v>5757</v>
      </c>
      <c r="D30" s="14" t="s">
        <v>5758</v>
      </c>
      <c r="E30" s="14" t="s">
        <v>5759</v>
      </c>
      <c r="F30" s="15"/>
      <c r="G30" s="16" t="s">
        <v>44</v>
      </c>
      <c r="H30" s="17"/>
      <c r="I30" s="17"/>
    </row>
    <row r="31" customFormat="false" ht="15" hidden="false" customHeight="false" outlineLevel="0" collapsed="false">
      <c r="A31" s="14" t="s">
        <v>5760</v>
      </c>
      <c r="B31" s="15" t="s">
        <v>5761</v>
      </c>
      <c r="C31" s="15" t="s">
        <v>5762</v>
      </c>
      <c r="D31" s="14" t="s">
        <v>1517</v>
      </c>
      <c r="E31" s="15"/>
      <c r="F31" s="15"/>
      <c r="G31" s="16" t="s">
        <v>44</v>
      </c>
      <c r="H31" s="17"/>
      <c r="I31" s="17"/>
    </row>
    <row r="32" customFormat="false" ht="15" hidden="false" customHeight="false" outlineLevel="0" collapsed="false">
      <c r="A32" s="14" t="s">
        <v>5763</v>
      </c>
      <c r="B32" s="15" t="s">
        <v>5761</v>
      </c>
      <c r="C32" s="14" t="s">
        <v>5401</v>
      </c>
      <c r="D32" s="14" t="s">
        <v>1535</v>
      </c>
      <c r="E32" s="15"/>
      <c r="F32" s="15"/>
      <c r="G32" s="16" t="s">
        <v>44</v>
      </c>
      <c r="H32" s="17"/>
      <c r="I32" s="17"/>
    </row>
    <row r="33" customFormat="false" ht="15" hidden="false" customHeight="false" outlineLevel="0" collapsed="false">
      <c r="A33" s="14" t="s">
        <v>5764</v>
      </c>
      <c r="B33" s="15" t="s">
        <v>5761</v>
      </c>
      <c r="C33" s="14" t="s">
        <v>5765</v>
      </c>
      <c r="D33" s="14" t="s">
        <v>5766</v>
      </c>
      <c r="E33" s="15"/>
      <c r="F33" s="15"/>
      <c r="G33" s="16" t="s">
        <v>44</v>
      </c>
      <c r="H33" s="17"/>
      <c r="I33" s="17"/>
    </row>
    <row r="34" customFormat="false" ht="15" hidden="false" customHeight="false" outlineLevel="0" collapsed="false">
      <c r="A34" s="14" t="s">
        <v>5767</v>
      </c>
      <c r="B34" s="15" t="s">
        <v>5768</v>
      </c>
      <c r="C34" s="15" t="s">
        <v>5769</v>
      </c>
      <c r="D34" s="14" t="s">
        <v>5718</v>
      </c>
      <c r="E34" s="15"/>
      <c r="F34" s="15"/>
      <c r="G34" s="16" t="s">
        <v>44</v>
      </c>
      <c r="H34" s="17"/>
      <c r="I34" s="17"/>
    </row>
    <row r="35" customFormat="false" ht="15" hidden="false" customHeight="false" outlineLevel="0" collapsed="false">
      <c r="A35" s="14" t="s">
        <v>5770</v>
      </c>
      <c r="B35" s="15" t="s">
        <v>5768</v>
      </c>
      <c r="C35" s="15" t="s">
        <v>5771</v>
      </c>
      <c r="D35" s="14" t="s">
        <v>5730</v>
      </c>
      <c r="E35" s="15"/>
      <c r="F35" s="15"/>
      <c r="G35" s="16" t="s">
        <v>44</v>
      </c>
      <c r="H35" s="17"/>
      <c r="I35" s="17"/>
    </row>
    <row r="36" customFormat="false" ht="15" hidden="false" customHeight="false" outlineLevel="0" collapsed="false">
      <c r="A36" s="14" t="s">
        <v>5772</v>
      </c>
      <c r="B36" s="15" t="s">
        <v>5768</v>
      </c>
      <c r="C36" s="15" t="s">
        <v>5773</v>
      </c>
      <c r="D36" s="14" t="s">
        <v>5718</v>
      </c>
      <c r="E36" s="15"/>
      <c r="F36" s="15"/>
      <c r="G36" s="16" t="s">
        <v>44</v>
      </c>
      <c r="H36" s="17"/>
      <c r="I36" s="17"/>
    </row>
    <row r="37" customFormat="false" ht="15" hidden="false" customHeight="false" outlineLevel="0" collapsed="false">
      <c r="A37" s="14" t="s">
        <v>5774</v>
      </c>
      <c r="B37" s="15" t="s">
        <v>5768</v>
      </c>
      <c r="C37" s="15" t="s">
        <v>5775</v>
      </c>
      <c r="D37" s="14" t="s">
        <v>5776</v>
      </c>
      <c r="E37" s="15" t="s">
        <v>5777</v>
      </c>
      <c r="F37" s="15"/>
      <c r="G37" s="16" t="s">
        <v>44</v>
      </c>
      <c r="H37" s="17"/>
      <c r="I37" s="17"/>
    </row>
    <row r="38" customFormat="false" ht="15" hidden="false" customHeight="false" outlineLevel="0" collapsed="false">
      <c r="A38" s="14" t="s">
        <v>5778</v>
      </c>
      <c r="B38" s="15" t="s">
        <v>5779</v>
      </c>
      <c r="C38" s="15" t="s">
        <v>5780</v>
      </c>
      <c r="D38" s="14" t="s">
        <v>5781</v>
      </c>
      <c r="E38" s="15"/>
      <c r="F38" s="15"/>
      <c r="G38" s="16" t="s">
        <v>44</v>
      </c>
      <c r="H38" s="17"/>
      <c r="I38" s="17"/>
    </row>
    <row r="39" customFormat="false" ht="15" hidden="false" customHeight="false" outlineLevel="0" collapsed="false">
      <c r="A39" s="14" t="s">
        <v>5782</v>
      </c>
      <c r="B39" s="15" t="s">
        <v>5779</v>
      </c>
      <c r="C39" s="15" t="s">
        <v>5783</v>
      </c>
      <c r="D39" s="14" t="s">
        <v>5784</v>
      </c>
      <c r="E39" s="15"/>
      <c r="F39" s="15"/>
      <c r="G39" s="16" t="s">
        <v>44</v>
      </c>
      <c r="H39" s="17"/>
      <c r="I39" s="17"/>
    </row>
    <row r="40" customFormat="false" ht="15" hidden="false" customHeight="false" outlineLevel="0" collapsed="false">
      <c r="A40" s="14" t="s">
        <v>5785</v>
      </c>
      <c r="B40" s="15" t="s">
        <v>5779</v>
      </c>
      <c r="C40" s="15" t="s">
        <v>5786</v>
      </c>
      <c r="D40" s="14" t="s">
        <v>5787</v>
      </c>
      <c r="E40" s="15"/>
      <c r="F40" s="15"/>
      <c r="G40" s="16" t="s">
        <v>44</v>
      </c>
      <c r="H40" s="17"/>
      <c r="I40" s="17"/>
    </row>
    <row r="41" customFormat="false" ht="15" hidden="false" customHeight="false" outlineLevel="0" collapsed="false">
      <c r="A41" s="14" t="s">
        <v>5788</v>
      </c>
      <c r="B41" s="15" t="s">
        <v>5779</v>
      </c>
      <c r="C41" s="15" t="s">
        <v>5789</v>
      </c>
      <c r="D41" s="14" t="s">
        <v>5790</v>
      </c>
      <c r="E41" s="15"/>
      <c r="F41" s="15"/>
      <c r="G41" s="16" t="s">
        <v>44</v>
      </c>
      <c r="H41" s="17"/>
      <c r="I41" s="17"/>
    </row>
    <row r="42" customFormat="false" ht="15" hidden="false" customHeight="false" outlineLevel="0" collapsed="false">
      <c r="A42" s="14" t="s">
        <v>5791</v>
      </c>
      <c r="B42" s="15" t="s">
        <v>5779</v>
      </c>
      <c r="C42" s="15" t="s">
        <v>5792</v>
      </c>
      <c r="D42" s="14" t="s">
        <v>5793</v>
      </c>
      <c r="E42" s="15"/>
      <c r="F42" s="15"/>
      <c r="G42" s="16" t="s">
        <v>44</v>
      </c>
      <c r="H42" s="17"/>
      <c r="I42" s="17"/>
    </row>
    <row r="43" customFormat="false" ht="15" hidden="false" customHeight="false" outlineLevel="0" collapsed="false">
      <c r="A43" s="14" t="s">
        <v>5794</v>
      </c>
      <c r="B43" s="15" t="s">
        <v>5779</v>
      </c>
      <c r="C43" s="15" t="s">
        <v>5795</v>
      </c>
      <c r="D43" s="14" t="s">
        <v>5796</v>
      </c>
      <c r="E43" s="15"/>
      <c r="F43" s="15"/>
      <c r="G43" s="16" t="s">
        <v>44</v>
      </c>
      <c r="H43" s="17"/>
      <c r="I43" s="17"/>
    </row>
    <row r="44" customFormat="false" ht="15" hidden="false" customHeight="false" outlineLevel="0" collapsed="false">
      <c r="A44" s="14" t="s">
        <v>5797</v>
      </c>
      <c r="B44" s="15" t="s">
        <v>5779</v>
      </c>
      <c r="C44" s="15" t="s">
        <v>5798</v>
      </c>
      <c r="D44" s="14" t="s">
        <v>5799</v>
      </c>
      <c r="E44" s="15"/>
      <c r="F44" s="15"/>
      <c r="G44" s="16" t="s">
        <v>44</v>
      </c>
      <c r="H44" s="17"/>
      <c r="I44" s="17"/>
    </row>
    <row r="45" customFormat="false" ht="15" hidden="false" customHeight="false" outlineLevel="0" collapsed="false">
      <c r="A45" s="14" t="s">
        <v>5800</v>
      </c>
      <c r="B45" s="15" t="s">
        <v>5779</v>
      </c>
      <c r="C45" s="15" t="s">
        <v>5801</v>
      </c>
      <c r="D45" s="14" t="s">
        <v>5758</v>
      </c>
      <c r="E45" s="15"/>
      <c r="F45" s="15"/>
      <c r="G45" s="16" t="s">
        <v>44</v>
      </c>
      <c r="H45" s="17"/>
      <c r="I45" s="17"/>
    </row>
    <row r="46" customFormat="false" ht="15" hidden="false" customHeight="false" outlineLevel="0" collapsed="false">
      <c r="A46" s="14" t="s">
        <v>5802</v>
      </c>
      <c r="B46" s="15" t="s">
        <v>5779</v>
      </c>
      <c r="C46" s="15" t="s">
        <v>5803</v>
      </c>
      <c r="D46" s="14" t="s">
        <v>5804</v>
      </c>
      <c r="E46" s="15"/>
      <c r="F46" s="15"/>
      <c r="G46" s="16" t="s">
        <v>44</v>
      </c>
      <c r="H46" s="17"/>
      <c r="I46" s="17"/>
    </row>
    <row r="47" customFormat="false" ht="15" hidden="false" customHeight="false" outlineLevel="0" collapsed="false">
      <c r="A47" s="14" t="s">
        <v>5805</v>
      </c>
      <c r="B47" s="15" t="s">
        <v>5779</v>
      </c>
      <c r="C47" s="15" t="s">
        <v>5806</v>
      </c>
      <c r="D47" s="14" t="s">
        <v>5807</v>
      </c>
      <c r="E47" s="15"/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5808</v>
      </c>
      <c r="B48" s="15" t="s">
        <v>5779</v>
      </c>
      <c r="C48" s="15" t="s">
        <v>5809</v>
      </c>
      <c r="D48" s="14" t="s">
        <v>5810</v>
      </c>
      <c r="E48" s="15"/>
      <c r="F48" s="15"/>
      <c r="G48" s="16" t="s">
        <v>44</v>
      </c>
      <c r="H48" s="17"/>
      <c r="I48" s="17"/>
    </row>
    <row r="49" customFormat="false" ht="29.85" hidden="false" customHeight="false" outlineLevel="0" collapsed="false">
      <c r="A49" s="14" t="s">
        <v>5811</v>
      </c>
      <c r="B49" s="15" t="s">
        <v>5779</v>
      </c>
      <c r="C49" s="15" t="s">
        <v>5812</v>
      </c>
      <c r="D49" s="15" t="s">
        <v>5813</v>
      </c>
      <c r="E49" s="15"/>
      <c r="F49" s="15"/>
      <c r="G49" s="16" t="s">
        <v>44</v>
      </c>
      <c r="H49" s="17"/>
      <c r="I49" s="17"/>
    </row>
    <row r="50" customFormat="false" ht="15" hidden="false" customHeight="false" outlineLevel="0" collapsed="false">
      <c r="A50" s="14" t="s">
        <v>5814</v>
      </c>
      <c r="B50" s="15" t="s">
        <v>2275</v>
      </c>
      <c r="C50" s="15" t="s">
        <v>2290</v>
      </c>
      <c r="D50" s="14" t="s">
        <v>5815</v>
      </c>
      <c r="E50" s="15" t="s">
        <v>5816</v>
      </c>
      <c r="F50" s="15"/>
      <c r="G50" s="16" t="s">
        <v>44</v>
      </c>
      <c r="H50" s="17"/>
      <c r="I50" s="17"/>
    </row>
    <row r="51" customFormat="false" ht="15" hidden="false" customHeight="false" outlineLevel="0" collapsed="false">
      <c r="A51" s="14" t="s">
        <v>5817</v>
      </c>
      <c r="B51" s="15" t="s">
        <v>2275</v>
      </c>
      <c r="C51" s="15" t="s">
        <v>2285</v>
      </c>
      <c r="D51" s="14" t="s">
        <v>5818</v>
      </c>
      <c r="E51" s="15"/>
      <c r="F51" s="15"/>
      <c r="G51" s="16" t="s">
        <v>44</v>
      </c>
      <c r="H51" s="17"/>
      <c r="I51" s="17"/>
    </row>
    <row r="52" customFormat="false" ht="15" hidden="false" customHeight="false" outlineLevel="0" collapsed="false">
      <c r="A52" s="14" t="s">
        <v>5819</v>
      </c>
      <c r="B52" s="15" t="s">
        <v>2275</v>
      </c>
      <c r="C52" s="15" t="s">
        <v>2280</v>
      </c>
      <c r="D52" s="14" t="s">
        <v>5820</v>
      </c>
      <c r="E52" s="15" t="s">
        <v>5821</v>
      </c>
      <c r="F52" s="15"/>
      <c r="G52" s="16" t="s">
        <v>44</v>
      </c>
      <c r="H52" s="17"/>
      <c r="I52" s="17"/>
    </row>
    <row r="53" customFormat="false" ht="15" hidden="false" customHeight="false" outlineLevel="0" collapsed="false">
      <c r="A53" s="14" t="s">
        <v>5822</v>
      </c>
      <c r="B53" s="15" t="s">
        <v>2275</v>
      </c>
      <c r="C53" s="14" t="s">
        <v>5823</v>
      </c>
      <c r="D53" s="15" t="s">
        <v>5824</v>
      </c>
      <c r="E53" s="15" t="s">
        <v>5825</v>
      </c>
      <c r="F53" s="15"/>
      <c r="G53" s="16" t="s">
        <v>44</v>
      </c>
      <c r="H53" s="17"/>
      <c r="I53" s="17"/>
    </row>
    <row r="54" customFormat="false" ht="15" hidden="false" customHeight="false" outlineLevel="0" collapsed="false">
      <c r="A54" s="14" t="s">
        <v>5826</v>
      </c>
      <c r="B54" s="15" t="s">
        <v>1048</v>
      </c>
      <c r="C54" s="15" t="s">
        <v>5827</v>
      </c>
      <c r="D54" s="14" t="s">
        <v>5718</v>
      </c>
      <c r="E54" s="15" t="s">
        <v>5828</v>
      </c>
      <c r="F54" s="15"/>
      <c r="G54" s="16" t="s">
        <v>44</v>
      </c>
      <c r="H54" s="17"/>
      <c r="I54" s="17"/>
    </row>
    <row r="55" customFormat="false" ht="15" hidden="false" customHeight="false" outlineLevel="0" collapsed="false">
      <c r="A55" s="14" t="s">
        <v>5829</v>
      </c>
      <c r="B55" s="15" t="s">
        <v>1048</v>
      </c>
      <c r="C55" s="15" t="s">
        <v>5830</v>
      </c>
      <c r="D55" s="14" t="s">
        <v>5721</v>
      </c>
      <c r="E55" s="15"/>
      <c r="F55" s="15"/>
      <c r="G55" s="16" t="s">
        <v>44</v>
      </c>
      <c r="H55" s="17"/>
      <c r="I55" s="17"/>
    </row>
    <row r="56" customFormat="false" ht="15" hidden="false" customHeight="false" outlineLevel="0" collapsed="false">
      <c r="A56" s="14" t="s">
        <v>5831</v>
      </c>
      <c r="B56" s="15" t="s">
        <v>1048</v>
      </c>
      <c r="C56" s="15" t="s">
        <v>5832</v>
      </c>
      <c r="D56" s="14" t="s">
        <v>5833</v>
      </c>
      <c r="E56" s="15"/>
      <c r="F56" s="15"/>
      <c r="G56" s="16" t="s">
        <v>44</v>
      </c>
      <c r="H56" s="17"/>
      <c r="I56" s="17"/>
    </row>
    <row r="57" customFormat="false" ht="15" hidden="false" customHeight="false" outlineLevel="0" collapsed="false">
      <c r="A57" s="14" t="s">
        <v>5834</v>
      </c>
      <c r="B57" s="15" t="s">
        <v>1048</v>
      </c>
      <c r="C57" s="15" t="s">
        <v>1034</v>
      </c>
      <c r="D57" s="14" t="s">
        <v>5718</v>
      </c>
      <c r="E57" s="15"/>
      <c r="F57" s="15"/>
      <c r="G57" s="16" t="s">
        <v>44</v>
      </c>
      <c r="H57" s="17"/>
      <c r="I57" s="17"/>
    </row>
    <row r="58" customFormat="false" ht="15" hidden="false" customHeight="false" outlineLevel="0" collapsed="false">
      <c r="A58" s="14" t="s">
        <v>5835</v>
      </c>
      <c r="B58" s="15" t="s">
        <v>1048</v>
      </c>
      <c r="C58" s="15" t="s">
        <v>5836</v>
      </c>
      <c r="D58" s="14" t="s">
        <v>5730</v>
      </c>
      <c r="E58" s="15"/>
      <c r="F58" s="15"/>
      <c r="G58" s="16" t="s">
        <v>44</v>
      </c>
      <c r="H58" s="17"/>
      <c r="I58" s="17"/>
    </row>
    <row r="59" customFormat="false" ht="15" hidden="false" customHeight="false" outlineLevel="0" collapsed="false">
      <c r="A59" s="14" t="s">
        <v>5837</v>
      </c>
      <c r="B59" s="15" t="s">
        <v>5838</v>
      </c>
      <c r="C59" s="15" t="s">
        <v>5252</v>
      </c>
      <c r="D59" s="14" t="s">
        <v>5839</v>
      </c>
      <c r="E59" s="15" t="s">
        <v>5840</v>
      </c>
      <c r="F59" s="15"/>
      <c r="G59" s="16" t="s">
        <v>44</v>
      </c>
      <c r="H59" s="17"/>
      <c r="I59" s="17"/>
    </row>
    <row r="60" customFormat="false" ht="15" hidden="false" customHeight="false" outlineLevel="0" collapsed="false">
      <c r="A60" s="14" t="s">
        <v>5841</v>
      </c>
      <c r="B60" s="15" t="s">
        <v>5838</v>
      </c>
      <c r="C60" s="15" t="s">
        <v>5270</v>
      </c>
      <c r="D60" s="14" t="s">
        <v>5842</v>
      </c>
      <c r="E60" s="15" t="s">
        <v>5840</v>
      </c>
      <c r="F60" s="15"/>
      <c r="G60" s="16" t="s">
        <v>44</v>
      </c>
      <c r="H60" s="17"/>
      <c r="I60" s="17"/>
    </row>
    <row r="61" customFormat="false" ht="15" hidden="false" customHeight="false" outlineLevel="0" collapsed="false">
      <c r="A61" s="14" t="s">
        <v>5843</v>
      </c>
      <c r="B61" s="15" t="s">
        <v>5838</v>
      </c>
      <c r="C61" s="15" t="s">
        <v>5844</v>
      </c>
      <c r="D61" s="15" t="s">
        <v>5845</v>
      </c>
      <c r="E61" s="15"/>
      <c r="F61" s="15"/>
      <c r="G61" s="16" t="s">
        <v>44</v>
      </c>
      <c r="H61" s="17"/>
      <c r="I61" s="17"/>
    </row>
    <row r="62" customFormat="false" ht="15" hidden="false" customHeight="false" outlineLevel="0" collapsed="false">
      <c r="A62" s="14" t="s">
        <v>5846</v>
      </c>
      <c r="B62" s="15" t="s">
        <v>5247</v>
      </c>
      <c r="C62" s="15" t="s">
        <v>5847</v>
      </c>
      <c r="D62" s="15" t="s">
        <v>5848</v>
      </c>
      <c r="E62" s="15"/>
      <c r="F62" s="15"/>
      <c r="G62" s="16" t="s">
        <v>44</v>
      </c>
      <c r="H62" s="17"/>
      <c r="I62" s="17"/>
    </row>
    <row r="63" customFormat="false" ht="15" hidden="false" customHeight="false" outlineLevel="0" collapsed="false">
      <c r="A63" s="14" t="s">
        <v>5849</v>
      </c>
      <c r="B63" s="15" t="s">
        <v>5247</v>
      </c>
      <c r="C63" s="15" t="s">
        <v>4085</v>
      </c>
      <c r="D63" s="15" t="s">
        <v>5850</v>
      </c>
      <c r="E63" s="14" t="s">
        <v>5851</v>
      </c>
      <c r="F63" s="15"/>
      <c r="G63" s="16" t="s">
        <v>44</v>
      </c>
      <c r="H63" s="17"/>
      <c r="I63" s="17"/>
    </row>
    <row r="64" customFormat="false" ht="15" hidden="false" customHeight="false" outlineLevel="0" collapsed="false">
      <c r="A64" s="14" t="s">
        <v>5852</v>
      </c>
      <c r="B64" s="15" t="s">
        <v>5853</v>
      </c>
      <c r="C64" s="15" t="s">
        <v>5854</v>
      </c>
      <c r="D64" s="14" t="s">
        <v>5855</v>
      </c>
      <c r="E64" s="15"/>
      <c r="F64" s="15"/>
      <c r="G64" s="16" t="s">
        <v>44</v>
      </c>
      <c r="H64" s="17"/>
      <c r="I64" s="17"/>
    </row>
    <row r="65" customFormat="false" ht="15" hidden="false" customHeight="false" outlineLevel="0" collapsed="false">
      <c r="A65" s="14" t="s">
        <v>5856</v>
      </c>
      <c r="B65" s="15" t="s">
        <v>5853</v>
      </c>
      <c r="C65" s="15" t="s">
        <v>5857</v>
      </c>
      <c r="D65" s="15" t="s">
        <v>5858</v>
      </c>
      <c r="E65" s="15"/>
      <c r="F65" s="15"/>
      <c r="G65" s="16" t="s">
        <v>44</v>
      </c>
      <c r="H65" s="17"/>
      <c r="I65" s="17"/>
    </row>
    <row r="66" customFormat="false" ht="15" hidden="false" customHeight="false" outlineLevel="0" collapsed="false">
      <c r="A66" s="14" t="s">
        <v>5859</v>
      </c>
      <c r="B66" s="15" t="s">
        <v>5860</v>
      </c>
      <c r="C66" s="15" t="s">
        <v>5861</v>
      </c>
      <c r="D66" s="15" t="s">
        <v>5862</v>
      </c>
      <c r="E66" s="15" t="s">
        <v>5863</v>
      </c>
      <c r="F66" s="15"/>
      <c r="G66" s="16" t="s">
        <v>44</v>
      </c>
      <c r="H66" s="17"/>
      <c r="I66" s="17"/>
    </row>
    <row r="67" customFormat="false" ht="15" hidden="false" customHeight="false" outlineLevel="0" collapsed="false">
      <c r="A67" s="14" t="s">
        <v>5864</v>
      </c>
      <c r="B67" s="15" t="s">
        <v>5860</v>
      </c>
      <c r="C67" s="15" t="s">
        <v>5865</v>
      </c>
      <c r="D67" s="15" t="s">
        <v>5866</v>
      </c>
      <c r="E67" s="14" t="s">
        <v>5867</v>
      </c>
      <c r="F67" s="15"/>
      <c r="G67" s="16" t="s">
        <v>44</v>
      </c>
      <c r="H67" s="17"/>
      <c r="I67" s="17"/>
    </row>
    <row r="68" customFormat="false" ht="15" hidden="false" customHeight="false" outlineLevel="0" collapsed="false">
      <c r="A68" s="14" t="s">
        <v>5868</v>
      </c>
      <c r="B68" s="15" t="s">
        <v>5860</v>
      </c>
      <c r="C68" s="15" t="s">
        <v>5869</v>
      </c>
      <c r="D68" s="15" t="s">
        <v>5870</v>
      </c>
      <c r="E68" s="14" t="s">
        <v>5871</v>
      </c>
      <c r="F68" s="15"/>
      <c r="G68" s="16" t="s">
        <v>44</v>
      </c>
      <c r="H68" s="17"/>
      <c r="I68" s="17"/>
    </row>
    <row r="69" customFormat="false" ht="29.85" hidden="false" customHeight="false" outlineLevel="0" collapsed="false">
      <c r="A69" s="14" t="s">
        <v>5872</v>
      </c>
      <c r="B69" s="15" t="s">
        <v>1048</v>
      </c>
      <c r="C69" s="15" t="s">
        <v>4137</v>
      </c>
      <c r="D69" s="14" t="s">
        <v>5718</v>
      </c>
      <c r="E69" s="15" t="s">
        <v>5873</v>
      </c>
      <c r="F69" s="15"/>
      <c r="G69" s="16" t="s">
        <v>44</v>
      </c>
      <c r="H69" s="17"/>
      <c r="I69" s="17"/>
    </row>
  </sheetData>
  <autoFilter ref="A1:I69"/>
  <dataValidations count="1">
    <dataValidation allowBlank="false" errorStyle="stop" operator="between" showDropDown="false" showErrorMessage="false" showInputMessage="false" sqref="G2:G6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5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5874</v>
      </c>
      <c r="B1" s="6" t="s">
        <v>148</v>
      </c>
      <c r="C1" s="5" t="s">
        <v>5875</v>
      </c>
      <c r="D1" s="5" t="s">
        <v>5876</v>
      </c>
      <c r="E1" s="5" t="s">
        <v>5877</v>
      </c>
      <c r="F1" s="5" t="s">
        <v>5878</v>
      </c>
    </row>
    <row r="2" customFormat="false" ht="27.6" hidden="false" customHeight="false" outlineLevel="0" collapsed="false">
      <c r="A2" s="7" t="s">
        <v>5879</v>
      </c>
      <c r="B2" s="7" t="s">
        <v>4351</v>
      </c>
      <c r="C2" s="7" t="s">
        <v>5880</v>
      </c>
      <c r="D2" s="8" t="s">
        <v>5881</v>
      </c>
      <c r="E2" s="8" t="s">
        <v>4352</v>
      </c>
      <c r="F2" s="8" t="s">
        <v>5882</v>
      </c>
    </row>
    <row r="3" customFormat="false" ht="44" hidden="false" customHeight="false" outlineLevel="0" collapsed="false">
      <c r="A3" s="7" t="s">
        <v>5879</v>
      </c>
      <c r="B3" s="7" t="s">
        <v>4351</v>
      </c>
      <c r="C3" s="7" t="s">
        <v>2450</v>
      </c>
      <c r="D3" s="8" t="s">
        <v>5883</v>
      </c>
      <c r="E3" s="8" t="s">
        <v>5884</v>
      </c>
      <c r="F3" s="8" t="s">
        <v>5882</v>
      </c>
    </row>
    <row r="4" customFormat="false" ht="27.6" hidden="false" customHeight="false" outlineLevel="0" collapsed="false">
      <c r="A4" s="7" t="s">
        <v>5879</v>
      </c>
      <c r="B4" s="7" t="s">
        <v>4355</v>
      </c>
      <c r="C4" s="7" t="s">
        <v>5880</v>
      </c>
      <c r="D4" s="8" t="s">
        <v>5885</v>
      </c>
      <c r="E4" s="8" t="s">
        <v>4356</v>
      </c>
      <c r="F4" s="8" t="s">
        <v>5882</v>
      </c>
    </row>
    <row r="5" customFormat="false" ht="44" hidden="false" customHeight="false" outlineLevel="0" collapsed="false">
      <c r="A5" s="7" t="s">
        <v>5879</v>
      </c>
      <c r="B5" s="7" t="s">
        <v>4355</v>
      </c>
      <c r="C5" s="7" t="s">
        <v>2450</v>
      </c>
      <c r="D5" s="8" t="s">
        <v>5886</v>
      </c>
      <c r="E5" s="8" t="s">
        <v>5887</v>
      </c>
      <c r="F5" s="8" t="s">
        <v>5882</v>
      </c>
    </row>
    <row r="6" customFormat="false" ht="27.6" hidden="false" customHeight="false" outlineLevel="0" collapsed="false">
      <c r="A6" s="7" t="s">
        <v>5879</v>
      </c>
      <c r="B6" s="7" t="s">
        <v>4359</v>
      </c>
      <c r="C6" s="7" t="s">
        <v>5880</v>
      </c>
      <c r="D6" s="8" t="s">
        <v>5888</v>
      </c>
      <c r="E6" s="8" t="s">
        <v>5889</v>
      </c>
      <c r="F6" s="8" t="s">
        <v>5882</v>
      </c>
    </row>
    <row r="7" customFormat="false" ht="44" hidden="false" customHeight="false" outlineLevel="0" collapsed="false">
      <c r="A7" s="7" t="s">
        <v>5879</v>
      </c>
      <c r="B7" s="7" t="s">
        <v>4359</v>
      </c>
      <c r="C7" s="7" t="s">
        <v>2450</v>
      </c>
      <c r="D7" s="8" t="s">
        <v>5890</v>
      </c>
      <c r="E7" s="8" t="s">
        <v>5891</v>
      </c>
      <c r="F7" s="8" t="s">
        <v>5882</v>
      </c>
    </row>
    <row r="8" customFormat="false" ht="27.6" hidden="false" customHeight="false" outlineLevel="0" collapsed="false">
      <c r="A8" s="7" t="s">
        <v>5879</v>
      </c>
      <c r="B8" s="7" t="s">
        <v>4363</v>
      </c>
      <c r="C8" s="7" t="s">
        <v>5880</v>
      </c>
      <c r="D8" s="8" t="s">
        <v>5892</v>
      </c>
      <c r="E8" s="8" t="s">
        <v>4364</v>
      </c>
      <c r="F8" s="8" t="s">
        <v>5882</v>
      </c>
    </row>
    <row r="9" customFormat="false" ht="44" hidden="false" customHeight="false" outlineLevel="0" collapsed="false">
      <c r="A9" s="7" t="s">
        <v>5879</v>
      </c>
      <c r="B9" s="7" t="s">
        <v>4363</v>
      </c>
      <c r="C9" s="7" t="s">
        <v>2450</v>
      </c>
      <c r="D9" s="8" t="s">
        <v>5893</v>
      </c>
      <c r="E9" s="8" t="s">
        <v>5894</v>
      </c>
      <c r="F9" s="8" t="s">
        <v>5882</v>
      </c>
    </row>
    <row r="10" customFormat="false" ht="27.6" hidden="false" customHeight="false" outlineLevel="0" collapsed="false">
      <c r="A10" s="7" t="s">
        <v>5879</v>
      </c>
      <c r="B10" s="7" t="s">
        <v>4367</v>
      </c>
      <c r="C10" s="7" t="s">
        <v>5880</v>
      </c>
      <c r="D10" s="8" t="s">
        <v>5895</v>
      </c>
      <c r="E10" s="8" t="s">
        <v>4368</v>
      </c>
      <c r="F10" s="8" t="s">
        <v>5882</v>
      </c>
    </row>
    <row r="11" customFormat="false" ht="44" hidden="false" customHeight="false" outlineLevel="0" collapsed="false">
      <c r="A11" s="7" t="s">
        <v>5879</v>
      </c>
      <c r="B11" s="7" t="s">
        <v>4367</v>
      </c>
      <c r="C11" s="7" t="s">
        <v>2450</v>
      </c>
      <c r="D11" s="8" t="s">
        <v>5896</v>
      </c>
      <c r="E11" s="8" t="s">
        <v>5897</v>
      </c>
      <c r="F11" s="8" t="s">
        <v>5882</v>
      </c>
    </row>
    <row r="12" customFormat="false" ht="27.6" hidden="false" customHeight="false" outlineLevel="0" collapsed="false">
      <c r="A12" s="7" t="s">
        <v>5879</v>
      </c>
      <c r="B12" s="7" t="s">
        <v>4371</v>
      </c>
      <c r="C12" s="7" t="s">
        <v>5880</v>
      </c>
      <c r="D12" s="8" t="s">
        <v>5898</v>
      </c>
      <c r="E12" s="8" t="s">
        <v>4372</v>
      </c>
      <c r="F12" s="8" t="s">
        <v>5882</v>
      </c>
    </row>
    <row r="13" customFormat="false" ht="44" hidden="false" customHeight="false" outlineLevel="0" collapsed="false">
      <c r="A13" s="7" t="s">
        <v>5879</v>
      </c>
      <c r="B13" s="7" t="s">
        <v>4371</v>
      </c>
      <c r="C13" s="7" t="s">
        <v>2450</v>
      </c>
      <c r="D13" s="8" t="s">
        <v>5899</v>
      </c>
      <c r="E13" s="8" t="s">
        <v>5900</v>
      </c>
      <c r="F13" s="8" t="s">
        <v>5882</v>
      </c>
    </row>
    <row r="14" customFormat="false" ht="27.6" hidden="false" customHeight="false" outlineLevel="0" collapsed="false">
      <c r="A14" s="7" t="s">
        <v>5879</v>
      </c>
      <c r="B14" s="7" t="s">
        <v>4375</v>
      </c>
      <c r="C14" s="7" t="s">
        <v>5880</v>
      </c>
      <c r="D14" s="8" t="s">
        <v>5901</v>
      </c>
      <c r="E14" s="8" t="s">
        <v>4376</v>
      </c>
      <c r="F14" s="8" t="s">
        <v>5882</v>
      </c>
    </row>
    <row r="15" customFormat="false" ht="44" hidden="false" customHeight="false" outlineLevel="0" collapsed="false">
      <c r="A15" s="7" t="s">
        <v>5879</v>
      </c>
      <c r="B15" s="7" t="s">
        <v>4375</v>
      </c>
      <c r="C15" s="7" t="s">
        <v>2450</v>
      </c>
      <c r="D15" s="8" t="s">
        <v>5902</v>
      </c>
      <c r="E15" s="8" t="s">
        <v>5903</v>
      </c>
      <c r="F15" s="8" t="s">
        <v>5882</v>
      </c>
    </row>
    <row r="16" customFormat="false" ht="27.6" hidden="false" customHeight="false" outlineLevel="0" collapsed="false">
      <c r="A16" s="7" t="s">
        <v>5879</v>
      </c>
      <c r="B16" s="7" t="s">
        <v>4379</v>
      </c>
      <c r="C16" s="7" t="s">
        <v>5880</v>
      </c>
      <c r="D16" s="8" t="s">
        <v>5904</v>
      </c>
      <c r="E16" s="8" t="s">
        <v>4380</v>
      </c>
      <c r="F16" s="8" t="s">
        <v>5882</v>
      </c>
    </row>
    <row r="17" customFormat="false" ht="44" hidden="false" customHeight="false" outlineLevel="0" collapsed="false">
      <c r="A17" s="7" t="s">
        <v>5879</v>
      </c>
      <c r="B17" s="7" t="s">
        <v>4379</v>
      </c>
      <c r="C17" s="7" t="s">
        <v>2450</v>
      </c>
      <c r="D17" s="8" t="s">
        <v>5905</v>
      </c>
      <c r="E17" s="8" t="s">
        <v>5906</v>
      </c>
      <c r="F17" s="8" t="s">
        <v>5882</v>
      </c>
    </row>
    <row r="18" customFormat="false" ht="27.6" hidden="false" customHeight="false" outlineLevel="0" collapsed="false">
      <c r="A18" s="7" t="s">
        <v>5879</v>
      </c>
      <c r="B18" s="7" t="s">
        <v>4383</v>
      </c>
      <c r="C18" s="7" t="s">
        <v>5880</v>
      </c>
      <c r="D18" s="8" t="s">
        <v>5907</v>
      </c>
      <c r="E18" s="8" t="s">
        <v>4384</v>
      </c>
      <c r="F18" s="8" t="s">
        <v>5882</v>
      </c>
    </row>
    <row r="19" customFormat="false" ht="44" hidden="false" customHeight="false" outlineLevel="0" collapsed="false">
      <c r="A19" s="7" t="s">
        <v>5879</v>
      </c>
      <c r="B19" s="7" t="s">
        <v>4383</v>
      </c>
      <c r="C19" s="7" t="s">
        <v>2450</v>
      </c>
      <c r="D19" s="8" t="s">
        <v>5908</v>
      </c>
      <c r="E19" s="8" t="s">
        <v>5909</v>
      </c>
      <c r="F19" s="8" t="s">
        <v>5882</v>
      </c>
    </row>
    <row r="20" customFormat="false" ht="27.6" hidden="false" customHeight="false" outlineLevel="0" collapsed="false">
      <c r="A20" s="7" t="s">
        <v>5879</v>
      </c>
      <c r="B20" s="7" t="s">
        <v>4387</v>
      </c>
      <c r="C20" s="7" t="s">
        <v>5880</v>
      </c>
      <c r="D20" s="8" t="s">
        <v>5910</v>
      </c>
      <c r="E20" s="8" t="s">
        <v>4388</v>
      </c>
      <c r="F20" s="8" t="s">
        <v>5882</v>
      </c>
    </row>
    <row r="21" customFormat="false" ht="44" hidden="false" customHeight="false" outlineLevel="0" collapsed="false">
      <c r="A21" s="7" t="s">
        <v>5879</v>
      </c>
      <c r="B21" s="7" t="s">
        <v>4387</v>
      </c>
      <c r="C21" s="7" t="s">
        <v>2450</v>
      </c>
      <c r="D21" s="8" t="s">
        <v>5911</v>
      </c>
      <c r="E21" s="8" t="s">
        <v>5912</v>
      </c>
      <c r="F21" s="8" t="s">
        <v>5882</v>
      </c>
    </row>
    <row r="22" customFormat="false" ht="27.6" hidden="false" customHeight="false" outlineLevel="0" collapsed="false">
      <c r="A22" s="7" t="s">
        <v>5879</v>
      </c>
      <c r="B22" s="7" t="s">
        <v>4391</v>
      </c>
      <c r="C22" s="7" t="s">
        <v>5880</v>
      </c>
      <c r="D22" s="8" t="s">
        <v>5913</v>
      </c>
      <c r="E22" s="8" t="s">
        <v>4392</v>
      </c>
      <c r="F22" s="8" t="s">
        <v>5882</v>
      </c>
    </row>
    <row r="23" customFormat="false" ht="58.2" hidden="false" customHeight="false" outlineLevel="0" collapsed="false">
      <c r="A23" s="7" t="s">
        <v>5879</v>
      </c>
      <c r="B23" s="7" t="s">
        <v>4391</v>
      </c>
      <c r="C23" s="7" t="s">
        <v>2450</v>
      </c>
      <c r="D23" s="8" t="s">
        <v>5914</v>
      </c>
      <c r="E23" s="8" t="s">
        <v>5915</v>
      </c>
      <c r="F23" s="8" t="s">
        <v>5882</v>
      </c>
    </row>
    <row r="24" customFormat="false" ht="27.6" hidden="false" customHeight="false" outlineLevel="0" collapsed="false">
      <c r="A24" s="7" t="s">
        <v>5879</v>
      </c>
      <c r="B24" s="7" t="s">
        <v>4395</v>
      </c>
      <c r="C24" s="7" t="s">
        <v>5880</v>
      </c>
      <c r="D24" s="8" t="s">
        <v>5916</v>
      </c>
      <c r="E24" s="8" t="s">
        <v>4396</v>
      </c>
      <c r="F24" s="8" t="s">
        <v>5882</v>
      </c>
    </row>
    <row r="25" customFormat="false" ht="58.2" hidden="false" customHeight="false" outlineLevel="0" collapsed="false">
      <c r="A25" s="7" t="s">
        <v>5879</v>
      </c>
      <c r="B25" s="7" t="s">
        <v>4395</v>
      </c>
      <c r="C25" s="7" t="s">
        <v>2450</v>
      </c>
      <c r="D25" s="8" t="s">
        <v>5917</v>
      </c>
      <c r="E25" s="8" t="s">
        <v>5918</v>
      </c>
      <c r="F25" s="8" t="s">
        <v>5882</v>
      </c>
    </row>
    <row r="26" customFormat="false" ht="27.6" hidden="false" customHeight="false" outlineLevel="0" collapsed="false">
      <c r="A26" s="7" t="s">
        <v>5879</v>
      </c>
      <c r="B26" s="7" t="s">
        <v>4399</v>
      </c>
      <c r="C26" s="7" t="s">
        <v>5880</v>
      </c>
      <c r="D26" s="8" t="s">
        <v>5919</v>
      </c>
      <c r="E26" s="8" t="s">
        <v>4400</v>
      </c>
      <c r="F26" s="8" t="s">
        <v>5882</v>
      </c>
    </row>
    <row r="27" customFormat="false" ht="44" hidden="false" customHeight="false" outlineLevel="0" collapsed="false">
      <c r="A27" s="7" t="s">
        <v>5879</v>
      </c>
      <c r="B27" s="7" t="s">
        <v>4399</v>
      </c>
      <c r="C27" s="7" t="s">
        <v>2450</v>
      </c>
      <c r="D27" s="8" t="s">
        <v>5920</v>
      </c>
      <c r="E27" s="8" t="s">
        <v>5921</v>
      </c>
      <c r="F27" s="8" t="s">
        <v>5882</v>
      </c>
    </row>
    <row r="28" customFormat="false" ht="27.6" hidden="false" customHeight="false" outlineLevel="0" collapsed="false">
      <c r="A28" s="7" t="s">
        <v>5879</v>
      </c>
      <c r="B28" s="7" t="s">
        <v>4403</v>
      </c>
      <c r="C28" s="7" t="s">
        <v>5880</v>
      </c>
      <c r="D28" s="8" t="s">
        <v>5922</v>
      </c>
      <c r="E28" s="8" t="s">
        <v>4404</v>
      </c>
      <c r="F28" s="8" t="s">
        <v>5882</v>
      </c>
    </row>
    <row r="29" customFormat="false" ht="44" hidden="false" customHeight="false" outlineLevel="0" collapsed="false">
      <c r="A29" s="7" t="s">
        <v>5879</v>
      </c>
      <c r="B29" s="7" t="s">
        <v>4403</v>
      </c>
      <c r="C29" s="7" t="s">
        <v>2450</v>
      </c>
      <c r="D29" s="8" t="s">
        <v>5923</v>
      </c>
      <c r="E29" s="8" t="s">
        <v>5924</v>
      </c>
      <c r="F29" s="8" t="s">
        <v>5882</v>
      </c>
    </row>
    <row r="30" customFormat="false" ht="27.6" hidden="false" customHeight="false" outlineLevel="0" collapsed="false">
      <c r="A30" s="7" t="s">
        <v>5879</v>
      </c>
      <c r="B30" s="7" t="s">
        <v>4407</v>
      </c>
      <c r="C30" s="7" t="s">
        <v>5880</v>
      </c>
      <c r="D30" s="8" t="s">
        <v>5925</v>
      </c>
      <c r="E30" s="8" t="s">
        <v>4408</v>
      </c>
      <c r="F30" s="8" t="s">
        <v>5882</v>
      </c>
    </row>
    <row r="31" customFormat="false" ht="44" hidden="false" customHeight="false" outlineLevel="0" collapsed="false">
      <c r="A31" s="7" t="s">
        <v>5879</v>
      </c>
      <c r="B31" s="7" t="s">
        <v>4407</v>
      </c>
      <c r="C31" s="7" t="s">
        <v>2450</v>
      </c>
      <c r="D31" s="8" t="s">
        <v>5926</v>
      </c>
      <c r="E31" s="8" t="s">
        <v>5927</v>
      </c>
      <c r="F31" s="8" t="s">
        <v>5882</v>
      </c>
    </row>
    <row r="32" customFormat="false" ht="27.6" hidden="false" customHeight="false" outlineLevel="0" collapsed="false">
      <c r="A32" s="7" t="s">
        <v>5879</v>
      </c>
      <c r="B32" s="7" t="s">
        <v>4411</v>
      </c>
      <c r="C32" s="7" t="s">
        <v>5880</v>
      </c>
      <c r="D32" s="8" t="s">
        <v>5928</v>
      </c>
      <c r="E32" s="8" t="s">
        <v>4412</v>
      </c>
      <c r="F32" s="8" t="s">
        <v>5882</v>
      </c>
    </row>
    <row r="33" customFormat="false" ht="44" hidden="false" customHeight="false" outlineLevel="0" collapsed="false">
      <c r="A33" s="7" t="s">
        <v>5879</v>
      </c>
      <c r="B33" s="7" t="s">
        <v>4411</v>
      </c>
      <c r="C33" s="7" t="s">
        <v>2450</v>
      </c>
      <c r="D33" s="8" t="s">
        <v>5929</v>
      </c>
      <c r="E33" s="8" t="s">
        <v>5930</v>
      </c>
      <c r="F33" s="8" t="s">
        <v>5882</v>
      </c>
    </row>
    <row r="34" customFormat="false" ht="27.6" hidden="false" customHeight="false" outlineLevel="0" collapsed="false">
      <c r="A34" s="7" t="s">
        <v>5879</v>
      </c>
      <c r="B34" s="7" t="s">
        <v>4415</v>
      </c>
      <c r="C34" s="7" t="s">
        <v>5880</v>
      </c>
      <c r="D34" s="8" t="s">
        <v>5931</v>
      </c>
      <c r="E34" s="8" t="s">
        <v>4416</v>
      </c>
      <c r="F34" s="8" t="s">
        <v>5882</v>
      </c>
    </row>
    <row r="35" customFormat="false" ht="44" hidden="false" customHeight="false" outlineLevel="0" collapsed="false">
      <c r="A35" s="7" t="s">
        <v>5879</v>
      </c>
      <c r="B35" s="7" t="s">
        <v>4415</v>
      </c>
      <c r="C35" s="7" t="s">
        <v>2450</v>
      </c>
      <c r="D35" s="8" t="s">
        <v>5932</v>
      </c>
      <c r="E35" s="8" t="s">
        <v>5933</v>
      </c>
      <c r="F35" s="8" t="s">
        <v>5882</v>
      </c>
    </row>
    <row r="36" customFormat="false" ht="27.6" hidden="false" customHeight="false" outlineLevel="0" collapsed="false">
      <c r="A36" s="7" t="s">
        <v>5879</v>
      </c>
      <c r="B36" s="7" t="s">
        <v>4419</v>
      </c>
      <c r="C36" s="7" t="s">
        <v>5880</v>
      </c>
      <c r="D36" s="8" t="s">
        <v>5934</v>
      </c>
      <c r="E36" s="8" t="s">
        <v>4420</v>
      </c>
      <c r="F36" s="8" t="s">
        <v>5882</v>
      </c>
    </row>
    <row r="37" customFormat="false" ht="44" hidden="false" customHeight="false" outlineLevel="0" collapsed="false">
      <c r="A37" s="7" t="s">
        <v>5879</v>
      </c>
      <c r="B37" s="7" t="s">
        <v>4419</v>
      </c>
      <c r="C37" s="7" t="s">
        <v>2450</v>
      </c>
      <c r="D37" s="8" t="s">
        <v>5935</v>
      </c>
      <c r="E37" s="8" t="s">
        <v>5936</v>
      </c>
      <c r="F37" s="8" t="s">
        <v>5882</v>
      </c>
    </row>
    <row r="38" customFormat="false" ht="27.6" hidden="false" customHeight="false" outlineLevel="0" collapsed="false">
      <c r="A38" s="7" t="s">
        <v>5879</v>
      </c>
      <c r="B38" s="7" t="s">
        <v>4423</v>
      </c>
      <c r="C38" s="7" t="s">
        <v>5880</v>
      </c>
      <c r="D38" s="8" t="s">
        <v>5937</v>
      </c>
      <c r="E38" s="8" t="s">
        <v>4424</v>
      </c>
      <c r="F38" s="8" t="s">
        <v>5882</v>
      </c>
    </row>
    <row r="39" customFormat="false" ht="44" hidden="false" customHeight="false" outlineLevel="0" collapsed="false">
      <c r="A39" s="7" t="s">
        <v>5879</v>
      </c>
      <c r="B39" s="7" t="s">
        <v>4423</v>
      </c>
      <c r="C39" s="7" t="s">
        <v>2450</v>
      </c>
      <c r="D39" s="8" t="s">
        <v>5938</v>
      </c>
      <c r="E39" s="8" t="s">
        <v>5939</v>
      </c>
      <c r="F39" s="8" t="s">
        <v>5882</v>
      </c>
    </row>
    <row r="40" customFormat="false" ht="27.6" hidden="false" customHeight="false" outlineLevel="0" collapsed="false">
      <c r="A40" s="7" t="s">
        <v>5879</v>
      </c>
      <c r="B40" s="7" t="s">
        <v>4427</v>
      </c>
      <c r="C40" s="7" t="s">
        <v>5880</v>
      </c>
      <c r="D40" s="8" t="s">
        <v>5940</v>
      </c>
      <c r="E40" s="8" t="s">
        <v>4428</v>
      </c>
      <c r="F40" s="8" t="s">
        <v>5882</v>
      </c>
    </row>
    <row r="41" customFormat="false" ht="44" hidden="false" customHeight="false" outlineLevel="0" collapsed="false">
      <c r="A41" s="7" t="s">
        <v>5879</v>
      </c>
      <c r="B41" s="7" t="s">
        <v>4427</v>
      </c>
      <c r="C41" s="7" t="s">
        <v>2450</v>
      </c>
      <c r="D41" s="8" t="s">
        <v>5941</v>
      </c>
      <c r="E41" s="8" t="s">
        <v>5942</v>
      </c>
      <c r="F41" s="8" t="s">
        <v>5882</v>
      </c>
    </row>
    <row r="42" customFormat="false" ht="27.6" hidden="false" customHeight="false" outlineLevel="0" collapsed="false">
      <c r="A42" s="7" t="s">
        <v>5879</v>
      </c>
      <c r="B42" s="7" t="s">
        <v>4431</v>
      </c>
      <c r="C42" s="7" t="s">
        <v>5880</v>
      </c>
      <c r="D42" s="8" t="s">
        <v>5943</v>
      </c>
      <c r="E42" s="8" t="s">
        <v>4432</v>
      </c>
      <c r="F42" s="8" t="s">
        <v>5882</v>
      </c>
    </row>
    <row r="43" customFormat="false" ht="44" hidden="false" customHeight="false" outlineLevel="0" collapsed="false">
      <c r="A43" s="7" t="s">
        <v>5879</v>
      </c>
      <c r="B43" s="7" t="s">
        <v>4431</v>
      </c>
      <c r="C43" s="7" t="s">
        <v>2450</v>
      </c>
      <c r="D43" s="8" t="s">
        <v>5944</v>
      </c>
      <c r="E43" s="8" t="s">
        <v>5945</v>
      </c>
      <c r="F43" s="8" t="s">
        <v>5882</v>
      </c>
    </row>
    <row r="44" customFormat="false" ht="27.6" hidden="false" customHeight="false" outlineLevel="0" collapsed="false">
      <c r="A44" s="7" t="s">
        <v>5879</v>
      </c>
      <c r="B44" s="7" t="s">
        <v>4435</v>
      </c>
      <c r="C44" s="7" t="s">
        <v>5880</v>
      </c>
      <c r="D44" s="8" t="s">
        <v>5946</v>
      </c>
      <c r="E44" s="8" t="s">
        <v>4436</v>
      </c>
      <c r="F44" s="8" t="s">
        <v>5882</v>
      </c>
    </row>
    <row r="45" customFormat="false" ht="44" hidden="false" customHeight="false" outlineLevel="0" collapsed="false">
      <c r="A45" s="7" t="s">
        <v>5879</v>
      </c>
      <c r="B45" s="7" t="s">
        <v>4435</v>
      </c>
      <c r="C45" s="7" t="s">
        <v>2450</v>
      </c>
      <c r="D45" s="8" t="s">
        <v>5947</v>
      </c>
      <c r="E45" s="8" t="s">
        <v>5948</v>
      </c>
      <c r="F45" s="8" t="s">
        <v>5882</v>
      </c>
    </row>
    <row r="46" customFormat="false" ht="27.6" hidden="false" customHeight="false" outlineLevel="0" collapsed="false">
      <c r="A46" s="7" t="s">
        <v>5879</v>
      </c>
      <c r="B46" s="7" t="s">
        <v>4439</v>
      </c>
      <c r="C46" s="7" t="s">
        <v>5880</v>
      </c>
      <c r="D46" s="8" t="s">
        <v>5949</v>
      </c>
      <c r="E46" s="8" t="s">
        <v>4440</v>
      </c>
      <c r="F46" s="8" t="s">
        <v>5882</v>
      </c>
    </row>
    <row r="47" customFormat="false" ht="44" hidden="false" customHeight="false" outlineLevel="0" collapsed="false">
      <c r="A47" s="7" t="s">
        <v>5879</v>
      </c>
      <c r="B47" s="7" t="s">
        <v>4439</v>
      </c>
      <c r="C47" s="7" t="s">
        <v>2450</v>
      </c>
      <c r="D47" s="8" t="s">
        <v>5950</v>
      </c>
      <c r="E47" s="8" t="s">
        <v>5951</v>
      </c>
      <c r="F47" s="8" t="s">
        <v>5882</v>
      </c>
    </row>
    <row r="48" customFormat="false" ht="27.6" hidden="false" customHeight="false" outlineLevel="0" collapsed="false">
      <c r="A48" s="7" t="s">
        <v>5879</v>
      </c>
      <c r="B48" s="7" t="s">
        <v>4443</v>
      </c>
      <c r="C48" s="7" t="s">
        <v>5880</v>
      </c>
      <c r="D48" s="8" t="s">
        <v>5952</v>
      </c>
      <c r="E48" s="8" t="s">
        <v>4444</v>
      </c>
      <c r="F48" s="8" t="s">
        <v>5882</v>
      </c>
    </row>
    <row r="49" customFormat="false" ht="44" hidden="false" customHeight="false" outlineLevel="0" collapsed="false">
      <c r="A49" s="7" t="s">
        <v>5879</v>
      </c>
      <c r="B49" s="7" t="s">
        <v>4443</v>
      </c>
      <c r="C49" s="7" t="s">
        <v>2450</v>
      </c>
      <c r="D49" s="8" t="s">
        <v>5953</v>
      </c>
      <c r="E49" s="8" t="s">
        <v>5954</v>
      </c>
      <c r="F49" s="8" t="s">
        <v>5882</v>
      </c>
    </row>
    <row r="50" customFormat="false" ht="27.6" hidden="false" customHeight="false" outlineLevel="0" collapsed="false">
      <c r="A50" s="7" t="s">
        <v>5879</v>
      </c>
      <c r="B50" s="7" t="s">
        <v>4447</v>
      </c>
      <c r="C50" s="7" t="s">
        <v>5880</v>
      </c>
      <c r="D50" s="8" t="s">
        <v>5955</v>
      </c>
      <c r="E50" s="8" t="s">
        <v>4448</v>
      </c>
      <c r="F50" s="8" t="s">
        <v>5882</v>
      </c>
    </row>
    <row r="51" customFormat="false" ht="44" hidden="false" customHeight="false" outlineLevel="0" collapsed="false">
      <c r="A51" s="7" t="s">
        <v>5879</v>
      </c>
      <c r="B51" s="7" t="s">
        <v>4447</v>
      </c>
      <c r="C51" s="7" t="s">
        <v>2450</v>
      </c>
      <c r="D51" s="8" t="s">
        <v>5956</v>
      </c>
      <c r="E51" s="8" t="s">
        <v>5957</v>
      </c>
      <c r="F51" s="8" t="s">
        <v>5882</v>
      </c>
    </row>
    <row r="52" customFormat="false" ht="27.6" hidden="false" customHeight="false" outlineLevel="0" collapsed="false">
      <c r="A52" s="7" t="s">
        <v>5879</v>
      </c>
      <c r="B52" s="7" t="s">
        <v>4451</v>
      </c>
      <c r="C52" s="7" t="s">
        <v>5880</v>
      </c>
      <c r="D52" s="8" t="s">
        <v>5958</v>
      </c>
      <c r="E52" s="8" t="s">
        <v>4452</v>
      </c>
      <c r="F52" s="8" t="s">
        <v>5882</v>
      </c>
    </row>
    <row r="53" customFormat="false" ht="44" hidden="false" customHeight="false" outlineLevel="0" collapsed="false">
      <c r="A53" s="7" t="s">
        <v>5879</v>
      </c>
      <c r="B53" s="7" t="s">
        <v>4451</v>
      </c>
      <c r="C53" s="7" t="s">
        <v>2450</v>
      </c>
      <c r="D53" s="8" t="s">
        <v>5959</v>
      </c>
      <c r="E53" s="8" t="s">
        <v>5960</v>
      </c>
      <c r="F53" s="8" t="s">
        <v>5882</v>
      </c>
    </row>
    <row r="54" customFormat="false" ht="27.6" hidden="false" customHeight="false" outlineLevel="0" collapsed="false">
      <c r="A54" s="7" t="s">
        <v>5879</v>
      </c>
      <c r="B54" s="7" t="s">
        <v>4455</v>
      </c>
      <c r="C54" s="7" t="s">
        <v>5880</v>
      </c>
      <c r="D54" s="8" t="s">
        <v>5961</v>
      </c>
      <c r="E54" s="8" t="s">
        <v>4456</v>
      </c>
      <c r="F54" s="8" t="s">
        <v>5882</v>
      </c>
    </row>
    <row r="55" customFormat="false" ht="44" hidden="false" customHeight="false" outlineLevel="0" collapsed="false">
      <c r="A55" s="7" t="s">
        <v>5879</v>
      </c>
      <c r="B55" s="7" t="s">
        <v>4455</v>
      </c>
      <c r="C55" s="7" t="s">
        <v>2450</v>
      </c>
      <c r="D55" s="8" t="s">
        <v>5962</v>
      </c>
      <c r="E55" s="8" t="s">
        <v>5963</v>
      </c>
      <c r="F55" s="8" t="s">
        <v>5882</v>
      </c>
    </row>
    <row r="56" customFormat="false" ht="27.6" hidden="false" customHeight="false" outlineLevel="0" collapsed="false">
      <c r="A56" s="7" t="s">
        <v>5879</v>
      </c>
      <c r="B56" s="7" t="s">
        <v>4459</v>
      </c>
      <c r="C56" s="7" t="s">
        <v>5880</v>
      </c>
      <c r="D56" s="8" t="s">
        <v>5964</v>
      </c>
      <c r="E56" s="8" t="s">
        <v>4460</v>
      </c>
      <c r="F56" s="8" t="s">
        <v>5882</v>
      </c>
    </row>
    <row r="57" customFormat="false" ht="44" hidden="false" customHeight="false" outlineLevel="0" collapsed="false">
      <c r="A57" s="7" t="s">
        <v>5879</v>
      </c>
      <c r="B57" s="7" t="s">
        <v>4459</v>
      </c>
      <c r="C57" s="7" t="s">
        <v>2450</v>
      </c>
      <c r="D57" s="8" t="s">
        <v>5965</v>
      </c>
      <c r="E57" s="8" t="s">
        <v>5966</v>
      </c>
      <c r="F57" s="8" t="s">
        <v>5882</v>
      </c>
    </row>
    <row r="58" customFormat="false" ht="27.6" hidden="false" customHeight="false" outlineLevel="0" collapsed="false">
      <c r="A58" s="7" t="s">
        <v>5879</v>
      </c>
      <c r="B58" s="7" t="s">
        <v>4463</v>
      </c>
      <c r="C58" s="7" t="s">
        <v>5880</v>
      </c>
      <c r="D58" s="8" t="s">
        <v>5967</v>
      </c>
      <c r="E58" s="8" t="s">
        <v>4464</v>
      </c>
      <c r="F58" s="8" t="s">
        <v>5882</v>
      </c>
    </row>
    <row r="59" customFormat="false" ht="44" hidden="false" customHeight="false" outlineLevel="0" collapsed="false">
      <c r="A59" s="7" t="s">
        <v>5879</v>
      </c>
      <c r="B59" s="7" t="s">
        <v>4463</v>
      </c>
      <c r="C59" s="7" t="s">
        <v>2450</v>
      </c>
      <c r="D59" s="8" t="s">
        <v>5968</v>
      </c>
      <c r="E59" s="8" t="s">
        <v>5969</v>
      </c>
      <c r="F59" s="8" t="s">
        <v>5882</v>
      </c>
    </row>
    <row r="60" customFormat="false" ht="27.6" hidden="false" customHeight="false" outlineLevel="0" collapsed="false">
      <c r="A60" s="7" t="s">
        <v>5879</v>
      </c>
      <c r="B60" s="7" t="s">
        <v>4467</v>
      </c>
      <c r="C60" s="7" t="s">
        <v>5880</v>
      </c>
      <c r="D60" s="8" t="s">
        <v>5970</v>
      </c>
      <c r="E60" s="8" t="s">
        <v>4468</v>
      </c>
      <c r="F60" s="8" t="s">
        <v>5882</v>
      </c>
    </row>
    <row r="61" customFormat="false" ht="44" hidden="false" customHeight="false" outlineLevel="0" collapsed="false">
      <c r="A61" s="7" t="s">
        <v>5879</v>
      </c>
      <c r="B61" s="7" t="s">
        <v>4467</v>
      </c>
      <c r="C61" s="7" t="s">
        <v>2450</v>
      </c>
      <c r="D61" s="8" t="s">
        <v>5971</v>
      </c>
      <c r="E61" s="8" t="s">
        <v>5972</v>
      </c>
      <c r="F61" s="8" t="s">
        <v>5882</v>
      </c>
    </row>
    <row r="62" customFormat="false" ht="27.6" hidden="false" customHeight="false" outlineLevel="0" collapsed="false">
      <c r="A62" s="7" t="s">
        <v>5879</v>
      </c>
      <c r="B62" s="7" t="s">
        <v>4471</v>
      </c>
      <c r="C62" s="7" t="s">
        <v>5880</v>
      </c>
      <c r="D62" s="8" t="s">
        <v>5973</v>
      </c>
      <c r="E62" s="8" t="s">
        <v>4472</v>
      </c>
      <c r="F62" s="8" t="s">
        <v>5882</v>
      </c>
    </row>
    <row r="63" customFormat="false" ht="44" hidden="false" customHeight="false" outlineLevel="0" collapsed="false">
      <c r="A63" s="7" t="s">
        <v>5879</v>
      </c>
      <c r="B63" s="7" t="s">
        <v>4471</v>
      </c>
      <c r="C63" s="7" t="s">
        <v>2450</v>
      </c>
      <c r="D63" s="8" t="s">
        <v>5974</v>
      </c>
      <c r="E63" s="8" t="s">
        <v>5975</v>
      </c>
      <c r="F63" s="8" t="s">
        <v>5882</v>
      </c>
    </row>
    <row r="64" customFormat="false" ht="27.6" hidden="false" customHeight="false" outlineLevel="0" collapsed="false">
      <c r="A64" s="7" t="s">
        <v>5879</v>
      </c>
      <c r="B64" s="7" t="s">
        <v>4475</v>
      </c>
      <c r="C64" s="7" t="s">
        <v>5880</v>
      </c>
      <c r="D64" s="8" t="s">
        <v>5976</v>
      </c>
      <c r="E64" s="8" t="s">
        <v>4476</v>
      </c>
      <c r="F64" s="8" t="s">
        <v>5882</v>
      </c>
    </row>
    <row r="65" customFormat="false" ht="44" hidden="false" customHeight="false" outlineLevel="0" collapsed="false">
      <c r="A65" s="7" t="s">
        <v>5879</v>
      </c>
      <c r="B65" s="7" t="s">
        <v>4475</v>
      </c>
      <c r="C65" s="7" t="s">
        <v>2450</v>
      </c>
      <c r="D65" s="8" t="s">
        <v>5977</v>
      </c>
      <c r="E65" s="8" t="s">
        <v>5978</v>
      </c>
      <c r="F65" s="8" t="s">
        <v>5882</v>
      </c>
    </row>
    <row r="66" customFormat="false" ht="27.6" hidden="false" customHeight="false" outlineLevel="0" collapsed="false">
      <c r="A66" s="7" t="s">
        <v>5879</v>
      </c>
      <c r="B66" s="7" t="s">
        <v>4479</v>
      </c>
      <c r="C66" s="7" t="s">
        <v>5880</v>
      </c>
      <c r="D66" s="8" t="s">
        <v>5979</v>
      </c>
      <c r="E66" s="8" t="s">
        <v>4480</v>
      </c>
      <c r="F66" s="8" t="s">
        <v>5882</v>
      </c>
    </row>
    <row r="67" customFormat="false" ht="44" hidden="false" customHeight="false" outlineLevel="0" collapsed="false">
      <c r="A67" s="7" t="s">
        <v>5879</v>
      </c>
      <c r="B67" s="7" t="s">
        <v>4479</v>
      </c>
      <c r="C67" s="7" t="s">
        <v>2450</v>
      </c>
      <c r="D67" s="8" t="s">
        <v>5980</v>
      </c>
      <c r="E67" s="8" t="s">
        <v>5981</v>
      </c>
      <c r="F67" s="8" t="s">
        <v>5882</v>
      </c>
    </row>
    <row r="68" customFormat="false" ht="27.6" hidden="false" customHeight="false" outlineLevel="0" collapsed="false">
      <c r="A68" s="7" t="s">
        <v>5879</v>
      </c>
      <c r="B68" s="7" t="s">
        <v>4483</v>
      </c>
      <c r="C68" s="7" t="s">
        <v>5880</v>
      </c>
      <c r="D68" s="8" t="s">
        <v>5982</v>
      </c>
      <c r="E68" s="8" t="s">
        <v>4484</v>
      </c>
      <c r="F68" s="8" t="s">
        <v>5882</v>
      </c>
    </row>
    <row r="69" customFormat="false" ht="44" hidden="false" customHeight="false" outlineLevel="0" collapsed="false">
      <c r="A69" s="7" t="s">
        <v>5879</v>
      </c>
      <c r="B69" s="7" t="s">
        <v>4483</v>
      </c>
      <c r="C69" s="7" t="s">
        <v>2450</v>
      </c>
      <c r="D69" s="8" t="s">
        <v>5983</v>
      </c>
      <c r="E69" s="8" t="s">
        <v>5984</v>
      </c>
      <c r="F69" s="8" t="s">
        <v>5882</v>
      </c>
    </row>
    <row r="70" customFormat="false" ht="27.6" hidden="false" customHeight="false" outlineLevel="0" collapsed="false">
      <c r="A70" s="7" t="s">
        <v>5879</v>
      </c>
      <c r="B70" s="7" t="s">
        <v>4487</v>
      </c>
      <c r="C70" s="7" t="s">
        <v>5880</v>
      </c>
      <c r="D70" s="8" t="s">
        <v>5985</v>
      </c>
      <c r="E70" s="8" t="s">
        <v>4488</v>
      </c>
      <c r="F70" s="8" t="s">
        <v>5882</v>
      </c>
    </row>
    <row r="71" customFormat="false" ht="44" hidden="false" customHeight="false" outlineLevel="0" collapsed="false">
      <c r="A71" s="7" t="s">
        <v>5879</v>
      </c>
      <c r="B71" s="7" t="s">
        <v>4487</v>
      </c>
      <c r="C71" s="7" t="s">
        <v>2450</v>
      </c>
      <c r="D71" s="8" t="s">
        <v>5986</v>
      </c>
      <c r="E71" s="8" t="s">
        <v>5987</v>
      </c>
      <c r="F71" s="8" t="s">
        <v>5882</v>
      </c>
    </row>
    <row r="72" customFormat="false" ht="27.6" hidden="false" customHeight="false" outlineLevel="0" collapsed="false">
      <c r="A72" s="7" t="s">
        <v>5879</v>
      </c>
      <c r="B72" s="7" t="s">
        <v>4491</v>
      </c>
      <c r="C72" s="7" t="s">
        <v>5880</v>
      </c>
      <c r="D72" s="8" t="s">
        <v>5988</v>
      </c>
      <c r="E72" s="8" t="s">
        <v>4492</v>
      </c>
      <c r="F72" s="8" t="s">
        <v>5882</v>
      </c>
    </row>
    <row r="73" customFormat="false" ht="44" hidden="false" customHeight="false" outlineLevel="0" collapsed="false">
      <c r="A73" s="7" t="s">
        <v>5879</v>
      </c>
      <c r="B73" s="7" t="s">
        <v>4491</v>
      </c>
      <c r="C73" s="7" t="s">
        <v>2450</v>
      </c>
      <c r="D73" s="8" t="s">
        <v>5989</v>
      </c>
      <c r="E73" s="8" t="s">
        <v>5990</v>
      </c>
      <c r="F73" s="8" t="s">
        <v>5882</v>
      </c>
    </row>
    <row r="74" customFormat="false" ht="15" hidden="false" customHeight="false" outlineLevel="0" collapsed="false">
      <c r="A74" s="7" t="s">
        <v>5991</v>
      </c>
      <c r="B74" s="7" t="s">
        <v>175</v>
      </c>
      <c r="C74" s="7" t="s">
        <v>5992</v>
      </c>
      <c r="D74" s="8" t="s">
        <v>5993</v>
      </c>
      <c r="E74" s="8" t="s">
        <v>184</v>
      </c>
      <c r="F74" s="7" t="s">
        <v>5994</v>
      </c>
    </row>
    <row r="75" customFormat="false" ht="44" hidden="false" customHeight="false" outlineLevel="0" collapsed="false">
      <c r="A75" s="7" t="s">
        <v>5991</v>
      </c>
      <c r="B75" s="7" t="s">
        <v>207</v>
      </c>
      <c r="C75" s="7" t="s">
        <v>5995</v>
      </c>
      <c r="D75" s="8" t="s">
        <v>5996</v>
      </c>
      <c r="E75" s="8" t="s">
        <v>215</v>
      </c>
      <c r="F75" s="7" t="s">
        <v>5997</v>
      </c>
    </row>
    <row r="76" customFormat="false" ht="29.85" hidden="false" customHeight="false" outlineLevel="0" collapsed="false">
      <c r="A76" s="7" t="s">
        <v>5991</v>
      </c>
      <c r="B76" s="7" t="s">
        <v>269</v>
      </c>
      <c r="C76" s="7" t="s">
        <v>5992</v>
      </c>
      <c r="D76" s="8" t="s">
        <v>5998</v>
      </c>
      <c r="E76" s="8" t="s">
        <v>276</v>
      </c>
      <c r="F76" s="7" t="s">
        <v>5999</v>
      </c>
    </row>
    <row r="77" customFormat="false" ht="55.95" hidden="false" customHeight="false" outlineLevel="0" collapsed="false">
      <c r="A77" s="7" t="s">
        <v>6000</v>
      </c>
      <c r="B77" s="7" t="s">
        <v>285</v>
      </c>
      <c r="C77" s="7" t="s">
        <v>2450</v>
      </c>
      <c r="D77" s="8" t="s">
        <v>6001</v>
      </c>
      <c r="E77" s="8" t="s">
        <v>287</v>
      </c>
      <c r="F77" s="7" t="s">
        <v>5994</v>
      </c>
    </row>
    <row r="78" customFormat="false" ht="29.85" hidden="false" customHeight="false" outlineLevel="0" collapsed="false">
      <c r="A78" s="7" t="s">
        <v>6000</v>
      </c>
      <c r="B78" s="7" t="s">
        <v>297</v>
      </c>
      <c r="C78" s="7" t="s">
        <v>6002</v>
      </c>
      <c r="D78" s="8" t="s">
        <v>6003</v>
      </c>
      <c r="E78" s="8" t="s">
        <v>298</v>
      </c>
      <c r="F78" s="7" t="s">
        <v>6004</v>
      </c>
    </row>
    <row r="79" customFormat="false" ht="44" hidden="false" customHeight="false" outlineLevel="0" collapsed="false">
      <c r="A79" s="7" t="s">
        <v>6000</v>
      </c>
      <c r="B79" s="7" t="s">
        <v>301</v>
      </c>
      <c r="C79" s="7" t="s">
        <v>2450</v>
      </c>
      <c r="D79" s="8" t="s">
        <v>6005</v>
      </c>
      <c r="E79" s="8" t="s">
        <v>303</v>
      </c>
      <c r="F79" s="7" t="s">
        <v>6006</v>
      </c>
    </row>
    <row r="80" customFormat="false" ht="58.2" hidden="false" customHeight="false" outlineLevel="0" collapsed="false">
      <c r="A80" s="7" t="s">
        <v>6007</v>
      </c>
      <c r="B80" s="7" t="s">
        <v>330</v>
      </c>
      <c r="C80" s="7" t="s">
        <v>2450</v>
      </c>
      <c r="D80" s="8" t="s">
        <v>6008</v>
      </c>
      <c r="E80" s="8" t="s">
        <v>332</v>
      </c>
      <c r="F80" s="7" t="s">
        <v>6009</v>
      </c>
    </row>
    <row r="81" customFormat="false" ht="29.85" hidden="false" customHeight="false" outlineLevel="0" collapsed="false">
      <c r="A81" s="7" t="s">
        <v>6007</v>
      </c>
      <c r="B81" s="7" t="s">
        <v>338</v>
      </c>
      <c r="C81" s="7" t="s">
        <v>6002</v>
      </c>
      <c r="D81" s="8" t="s">
        <v>6010</v>
      </c>
      <c r="E81" s="8" t="s">
        <v>339</v>
      </c>
      <c r="F81" s="7" t="s">
        <v>6011</v>
      </c>
    </row>
    <row r="82" customFormat="false" ht="29.85" hidden="false" customHeight="false" outlineLevel="0" collapsed="false">
      <c r="A82" s="7" t="s">
        <v>6007</v>
      </c>
      <c r="B82" s="7" t="s">
        <v>354</v>
      </c>
      <c r="C82" s="7" t="s">
        <v>6002</v>
      </c>
      <c r="D82" s="8" t="s">
        <v>6012</v>
      </c>
      <c r="E82" s="8" t="s">
        <v>355</v>
      </c>
      <c r="F82" s="7" t="s">
        <v>6013</v>
      </c>
    </row>
    <row r="83" customFormat="false" ht="29.85" hidden="false" customHeight="false" outlineLevel="0" collapsed="false">
      <c r="A83" s="7" t="s">
        <v>6014</v>
      </c>
      <c r="B83" s="7" t="s">
        <v>397</v>
      </c>
      <c r="C83" s="7" t="s">
        <v>6002</v>
      </c>
      <c r="D83" s="8" t="s">
        <v>6015</v>
      </c>
      <c r="E83" s="8" t="s">
        <v>398</v>
      </c>
      <c r="F83" s="7" t="s">
        <v>6016</v>
      </c>
    </row>
    <row r="84" customFormat="false" ht="29.85" hidden="false" customHeight="false" outlineLevel="0" collapsed="false">
      <c r="A84" s="7" t="s">
        <v>6017</v>
      </c>
      <c r="B84" s="7" t="s">
        <v>427</v>
      </c>
      <c r="C84" s="7" t="s">
        <v>6018</v>
      </c>
      <c r="D84" s="8" t="s">
        <v>6019</v>
      </c>
      <c r="E84" s="8" t="s">
        <v>437</v>
      </c>
      <c r="F84" s="8" t="s">
        <v>6020</v>
      </c>
    </row>
    <row r="85" customFormat="false" ht="29.85" hidden="false" customHeight="false" outlineLevel="0" collapsed="false">
      <c r="A85" s="7" t="s">
        <v>6017</v>
      </c>
      <c r="B85" s="7" t="s">
        <v>464</v>
      </c>
      <c r="C85" s="7" t="s">
        <v>6021</v>
      </c>
      <c r="D85" s="8" t="s">
        <v>6022</v>
      </c>
      <c r="E85" s="8" t="s">
        <v>474</v>
      </c>
      <c r="F85" s="8" t="s">
        <v>6023</v>
      </c>
    </row>
    <row r="86" customFormat="false" ht="44" hidden="false" customHeight="false" outlineLevel="0" collapsed="false">
      <c r="A86" s="7" t="s">
        <v>6017</v>
      </c>
      <c r="B86" s="7" t="s">
        <v>488</v>
      </c>
      <c r="C86" s="7" t="s">
        <v>6024</v>
      </c>
      <c r="D86" s="8" t="s">
        <v>6025</v>
      </c>
      <c r="E86" s="8" t="s">
        <v>492</v>
      </c>
      <c r="F86" s="7" t="s">
        <v>6026</v>
      </c>
    </row>
    <row r="87" customFormat="false" ht="44" hidden="false" customHeight="false" outlineLevel="0" collapsed="false">
      <c r="A87" s="7" t="s">
        <v>6017</v>
      </c>
      <c r="B87" s="7" t="s">
        <v>519</v>
      </c>
      <c r="C87" s="7" t="s">
        <v>6024</v>
      </c>
      <c r="D87" s="8" t="s">
        <v>6027</v>
      </c>
      <c r="E87" s="8" t="s">
        <v>524</v>
      </c>
      <c r="F87" s="7" t="s">
        <v>6028</v>
      </c>
    </row>
    <row r="88" customFormat="false" ht="29.85" hidden="false" customHeight="false" outlineLevel="0" collapsed="false">
      <c r="A88" s="7" t="s">
        <v>6017</v>
      </c>
      <c r="B88" s="7" t="s">
        <v>531</v>
      </c>
      <c r="C88" s="7" t="s">
        <v>6018</v>
      </c>
      <c r="D88" s="8" t="s">
        <v>6029</v>
      </c>
      <c r="E88" s="8" t="s">
        <v>539</v>
      </c>
      <c r="F88" s="7" t="s">
        <v>6030</v>
      </c>
    </row>
    <row r="89" customFormat="false" ht="15" hidden="false" customHeight="false" outlineLevel="0" collapsed="false">
      <c r="A89" s="7" t="s">
        <v>6017</v>
      </c>
      <c r="B89" s="7" t="s">
        <v>552</v>
      </c>
      <c r="C89" s="7" t="s">
        <v>6018</v>
      </c>
      <c r="D89" s="8" t="s">
        <v>6031</v>
      </c>
      <c r="E89" s="8" t="s">
        <v>560</v>
      </c>
      <c r="F89" s="7" t="s">
        <v>6032</v>
      </c>
    </row>
    <row r="90" customFormat="false" ht="58.2" hidden="false" customHeight="false" outlineLevel="0" collapsed="false">
      <c r="A90" s="7" t="s">
        <v>6017</v>
      </c>
      <c r="B90" s="7" t="s">
        <v>562</v>
      </c>
      <c r="C90" s="7" t="s">
        <v>6033</v>
      </c>
      <c r="D90" s="8" t="s">
        <v>6034</v>
      </c>
      <c r="E90" s="8" t="s">
        <v>568</v>
      </c>
      <c r="F90" s="7" t="s">
        <v>6035</v>
      </c>
    </row>
    <row r="91" customFormat="false" ht="44" hidden="false" customHeight="false" outlineLevel="0" collapsed="false">
      <c r="A91" s="7" t="s">
        <v>6017</v>
      </c>
      <c r="B91" s="7" t="s">
        <v>573</v>
      </c>
      <c r="C91" s="7" t="s">
        <v>6024</v>
      </c>
      <c r="D91" s="8" t="s">
        <v>6036</v>
      </c>
      <c r="E91" s="8" t="s">
        <v>577</v>
      </c>
      <c r="F91" s="7" t="s">
        <v>6037</v>
      </c>
    </row>
    <row r="92" customFormat="false" ht="29.85" hidden="false" customHeight="false" outlineLevel="0" collapsed="false">
      <c r="A92" s="7" t="s">
        <v>6017</v>
      </c>
      <c r="B92" s="7" t="s">
        <v>583</v>
      </c>
      <c r="C92" s="7" t="s">
        <v>6024</v>
      </c>
      <c r="D92" s="8" t="s">
        <v>6038</v>
      </c>
      <c r="E92" s="8" t="s">
        <v>587</v>
      </c>
      <c r="F92" s="7" t="s">
        <v>6039</v>
      </c>
    </row>
    <row r="93" customFormat="false" ht="29.85" hidden="false" customHeight="false" outlineLevel="0" collapsed="false">
      <c r="A93" s="7" t="s">
        <v>6017</v>
      </c>
      <c r="B93" s="7" t="s">
        <v>594</v>
      </c>
      <c r="C93" s="7" t="s">
        <v>6024</v>
      </c>
      <c r="D93" s="8" t="s">
        <v>6040</v>
      </c>
      <c r="E93" s="8" t="s">
        <v>598</v>
      </c>
      <c r="F93" s="8" t="s">
        <v>6041</v>
      </c>
    </row>
    <row r="94" customFormat="false" ht="29.85" hidden="false" customHeight="false" outlineLevel="0" collapsed="false">
      <c r="A94" s="7" t="s">
        <v>6017</v>
      </c>
      <c r="B94" s="7" t="s">
        <v>626</v>
      </c>
      <c r="C94" s="7" t="s">
        <v>6018</v>
      </c>
      <c r="D94" s="8" t="s">
        <v>6042</v>
      </c>
      <c r="E94" s="8" t="s">
        <v>634</v>
      </c>
      <c r="F94" s="7" t="s">
        <v>6043</v>
      </c>
    </row>
    <row r="95" customFormat="false" ht="29.85" hidden="false" customHeight="false" outlineLevel="0" collapsed="false">
      <c r="A95" s="7" t="s">
        <v>6017</v>
      </c>
      <c r="B95" s="7" t="s">
        <v>637</v>
      </c>
      <c r="C95" s="7" t="s">
        <v>6024</v>
      </c>
      <c r="D95" s="8" t="s">
        <v>6044</v>
      </c>
      <c r="E95" s="8" t="s">
        <v>641</v>
      </c>
      <c r="F95" s="7" t="s">
        <v>6045</v>
      </c>
    </row>
    <row r="96" customFormat="false" ht="44" hidden="false" customHeight="false" outlineLevel="0" collapsed="false">
      <c r="A96" s="7" t="s">
        <v>6046</v>
      </c>
      <c r="B96" s="7" t="s">
        <v>661</v>
      </c>
      <c r="C96" s="7" t="s">
        <v>6047</v>
      </c>
      <c r="D96" s="8" t="s">
        <v>6048</v>
      </c>
      <c r="E96" s="8" t="s">
        <v>664</v>
      </c>
      <c r="F96" s="7" t="s">
        <v>6049</v>
      </c>
    </row>
    <row r="97" customFormat="false" ht="44" hidden="false" customHeight="false" outlineLevel="0" collapsed="false">
      <c r="A97" s="7" t="s">
        <v>6046</v>
      </c>
      <c r="B97" s="7" t="s">
        <v>678</v>
      </c>
      <c r="C97" s="7" t="s">
        <v>6050</v>
      </c>
      <c r="D97" s="8" t="s">
        <v>6051</v>
      </c>
      <c r="E97" s="8" t="s">
        <v>680</v>
      </c>
      <c r="F97" s="7" t="s">
        <v>6052</v>
      </c>
    </row>
    <row r="98" customFormat="false" ht="44" hidden="false" customHeight="false" outlineLevel="0" collapsed="false">
      <c r="A98" s="7" t="s">
        <v>6046</v>
      </c>
      <c r="B98" s="7" t="s">
        <v>687</v>
      </c>
      <c r="C98" s="7" t="s">
        <v>6047</v>
      </c>
      <c r="D98" s="8" t="s">
        <v>6053</v>
      </c>
      <c r="E98" s="8" t="s">
        <v>690</v>
      </c>
      <c r="F98" s="7" t="s">
        <v>6054</v>
      </c>
    </row>
    <row r="99" customFormat="false" ht="29.85" hidden="false" customHeight="false" outlineLevel="0" collapsed="false">
      <c r="A99" s="7" t="s">
        <v>6055</v>
      </c>
      <c r="B99" s="7" t="s">
        <v>1924</v>
      </c>
      <c r="C99" s="7" t="s">
        <v>6056</v>
      </c>
      <c r="D99" s="8" t="s">
        <v>6057</v>
      </c>
      <c r="E99" s="8" t="s">
        <v>1927</v>
      </c>
      <c r="F99" s="7" t="s">
        <v>6058</v>
      </c>
    </row>
    <row r="100" customFormat="false" ht="29.85" hidden="false" customHeight="false" outlineLevel="0" collapsed="false">
      <c r="A100" s="7" t="s">
        <v>6055</v>
      </c>
      <c r="B100" s="7" t="s">
        <v>1953</v>
      </c>
      <c r="C100" s="7" t="s">
        <v>6056</v>
      </c>
      <c r="D100" s="8" t="s">
        <v>6059</v>
      </c>
      <c r="E100" s="8" t="s">
        <v>1956</v>
      </c>
      <c r="F100" s="7" t="s">
        <v>6060</v>
      </c>
    </row>
    <row r="101" customFormat="false" ht="58.2" hidden="false" customHeight="false" outlineLevel="0" collapsed="false">
      <c r="A101" s="7" t="s">
        <v>6061</v>
      </c>
      <c r="B101" s="7" t="s">
        <v>4093</v>
      </c>
      <c r="C101" s="7" t="s">
        <v>2450</v>
      </c>
      <c r="D101" s="7" t="s">
        <v>6062</v>
      </c>
      <c r="E101" s="7" t="s">
        <v>4095</v>
      </c>
      <c r="F101" s="7" t="s">
        <v>6063</v>
      </c>
    </row>
    <row r="102" customFormat="false" ht="58.2" hidden="false" customHeight="false" outlineLevel="0" collapsed="false">
      <c r="A102" s="7" t="s">
        <v>6061</v>
      </c>
      <c r="B102" s="7" t="s">
        <v>4103</v>
      </c>
      <c r="C102" s="7" t="s">
        <v>2450</v>
      </c>
      <c r="D102" s="7" t="s">
        <v>6064</v>
      </c>
      <c r="E102" s="7" t="s">
        <v>4105</v>
      </c>
      <c r="F102" s="7" t="s">
        <v>6065</v>
      </c>
    </row>
    <row r="103" customFormat="false" ht="58.2" hidden="false" customHeight="false" outlineLevel="0" collapsed="false">
      <c r="A103" s="7" t="s">
        <v>6061</v>
      </c>
      <c r="B103" s="7" t="s">
        <v>4108</v>
      </c>
      <c r="C103" s="7" t="s">
        <v>2450</v>
      </c>
      <c r="D103" s="7" t="s">
        <v>6066</v>
      </c>
      <c r="E103" s="7" t="s">
        <v>4110</v>
      </c>
      <c r="F103" s="8" t="s">
        <v>6067</v>
      </c>
    </row>
    <row r="104" customFormat="false" ht="58.2" hidden="false" customHeight="false" outlineLevel="0" collapsed="false">
      <c r="A104" s="7" t="s">
        <v>6061</v>
      </c>
      <c r="B104" s="7" t="s">
        <v>4116</v>
      </c>
      <c r="C104" s="7" t="s">
        <v>2450</v>
      </c>
      <c r="D104" s="7" t="s">
        <v>6068</v>
      </c>
      <c r="E104" s="7" t="s">
        <v>4119</v>
      </c>
      <c r="F104" s="8" t="s">
        <v>6069</v>
      </c>
    </row>
    <row r="105" customFormat="false" ht="58.2" hidden="false" customHeight="false" outlineLevel="0" collapsed="false">
      <c r="A105" s="7" t="s">
        <v>6061</v>
      </c>
      <c r="B105" s="7" t="s">
        <v>4121</v>
      </c>
      <c r="C105" s="7" t="s">
        <v>2450</v>
      </c>
      <c r="D105" s="7" t="s">
        <v>6070</v>
      </c>
      <c r="E105" s="7" t="s">
        <v>4123</v>
      </c>
      <c r="F105" s="8" t="s">
        <v>6071</v>
      </c>
    </row>
    <row r="106" customFormat="false" ht="58.2" hidden="false" customHeight="false" outlineLevel="0" collapsed="false">
      <c r="A106" s="7" t="s">
        <v>6061</v>
      </c>
      <c r="B106" s="7" t="s">
        <v>4125</v>
      </c>
      <c r="C106" s="7" t="s">
        <v>2450</v>
      </c>
      <c r="D106" s="7" t="s">
        <v>6072</v>
      </c>
      <c r="E106" s="7" t="s">
        <v>4127</v>
      </c>
      <c r="F106" s="7" t="s">
        <v>6073</v>
      </c>
    </row>
    <row r="107" customFormat="false" ht="58.2" hidden="false" customHeight="false" outlineLevel="0" collapsed="false">
      <c r="A107" s="7" t="s">
        <v>6061</v>
      </c>
      <c r="B107" s="7" t="s">
        <v>4133</v>
      </c>
      <c r="C107" s="7" t="s">
        <v>2450</v>
      </c>
      <c r="D107" s="7" t="s">
        <v>6074</v>
      </c>
      <c r="E107" s="7" t="s">
        <v>4135</v>
      </c>
      <c r="F107" s="8" t="s">
        <v>6075</v>
      </c>
    </row>
    <row r="108" customFormat="false" ht="44" hidden="false" customHeight="false" outlineLevel="0" collapsed="false">
      <c r="A108" s="7" t="s">
        <v>6076</v>
      </c>
      <c r="B108" s="7" t="s">
        <v>1497</v>
      </c>
      <c r="C108" s="7" t="s">
        <v>2450</v>
      </c>
      <c r="D108" s="8" t="s">
        <v>6077</v>
      </c>
      <c r="E108" s="8" t="s">
        <v>1503</v>
      </c>
      <c r="F108" s="7" t="s">
        <v>6078</v>
      </c>
    </row>
    <row r="109" customFormat="false" ht="58.2" hidden="false" customHeight="false" outlineLevel="0" collapsed="false">
      <c r="A109" s="7" t="s">
        <v>6076</v>
      </c>
      <c r="B109" s="7" t="s">
        <v>1506</v>
      </c>
      <c r="C109" s="7" t="s">
        <v>2450</v>
      </c>
      <c r="D109" s="8" t="s">
        <v>6079</v>
      </c>
      <c r="E109" s="8" t="s">
        <v>1512</v>
      </c>
      <c r="F109" s="8" t="s">
        <v>6080</v>
      </c>
    </row>
    <row r="110" customFormat="false" ht="44" hidden="false" customHeight="false" outlineLevel="0" collapsed="false">
      <c r="A110" s="7" t="s">
        <v>6076</v>
      </c>
      <c r="B110" s="7" t="s">
        <v>1516</v>
      </c>
      <c r="C110" s="7" t="s">
        <v>2450</v>
      </c>
      <c r="D110" s="8" t="s">
        <v>6081</v>
      </c>
      <c r="E110" s="8" t="s">
        <v>1522</v>
      </c>
      <c r="F110" s="7" t="s">
        <v>6082</v>
      </c>
    </row>
    <row r="111" customFormat="false" ht="44" hidden="false" customHeight="false" outlineLevel="0" collapsed="false">
      <c r="A111" s="7" t="s">
        <v>6076</v>
      </c>
      <c r="B111" s="7" t="s">
        <v>1525</v>
      </c>
      <c r="C111" s="7" t="s">
        <v>2450</v>
      </c>
      <c r="D111" s="8" t="s">
        <v>6083</v>
      </c>
      <c r="E111" s="8" t="s">
        <v>1531</v>
      </c>
      <c r="F111" s="8" t="s">
        <v>6084</v>
      </c>
    </row>
    <row r="112" customFormat="false" ht="29.85" hidden="false" customHeight="false" outlineLevel="0" collapsed="false">
      <c r="A112" s="7" t="s">
        <v>6076</v>
      </c>
      <c r="B112" s="7" t="s">
        <v>1573</v>
      </c>
      <c r="C112" s="7" t="s">
        <v>6085</v>
      </c>
      <c r="D112" s="8" t="s">
        <v>6086</v>
      </c>
      <c r="E112" s="8" t="s">
        <v>1580</v>
      </c>
      <c r="F112" s="7" t="s">
        <v>6087</v>
      </c>
    </row>
    <row r="113" customFormat="false" ht="15" hidden="false" customHeight="false" outlineLevel="0" collapsed="false">
      <c r="A113" s="7" t="s">
        <v>6076</v>
      </c>
      <c r="B113" s="7" t="s">
        <v>1591</v>
      </c>
      <c r="C113" s="7" t="s">
        <v>6002</v>
      </c>
      <c r="D113" s="8" t="s">
        <v>6088</v>
      </c>
      <c r="E113" s="8" t="s">
        <v>1596</v>
      </c>
      <c r="F113" s="7" t="s">
        <v>6089</v>
      </c>
    </row>
    <row r="114" customFormat="false" ht="44" hidden="false" customHeight="false" outlineLevel="0" collapsed="false">
      <c r="A114" s="7" t="s">
        <v>6076</v>
      </c>
      <c r="B114" s="7" t="s">
        <v>1648</v>
      </c>
      <c r="C114" s="7" t="s">
        <v>2450</v>
      </c>
      <c r="D114" s="8" t="s">
        <v>6090</v>
      </c>
      <c r="E114" s="8" t="s">
        <v>1652</v>
      </c>
      <c r="F114" s="7" t="s">
        <v>6091</v>
      </c>
    </row>
    <row r="115" customFormat="false" ht="58.2" hidden="false" customHeight="false" outlineLevel="0" collapsed="false">
      <c r="A115" s="7" t="s">
        <v>6076</v>
      </c>
      <c r="B115" s="7" t="s">
        <v>1664</v>
      </c>
      <c r="C115" s="7" t="s">
        <v>2450</v>
      </c>
      <c r="D115" s="8" t="s">
        <v>6092</v>
      </c>
      <c r="E115" s="8" t="s">
        <v>1668</v>
      </c>
      <c r="F115" s="7" t="s">
        <v>6093</v>
      </c>
    </row>
    <row r="116" customFormat="false" ht="58.2" hidden="false" customHeight="false" outlineLevel="0" collapsed="false">
      <c r="A116" s="7" t="s">
        <v>6094</v>
      </c>
      <c r="B116" s="7" t="s">
        <v>743</v>
      </c>
      <c r="C116" s="7" t="s">
        <v>2450</v>
      </c>
      <c r="D116" s="8" t="s">
        <v>6095</v>
      </c>
      <c r="E116" s="8" t="s">
        <v>749</v>
      </c>
      <c r="F116" s="7" t="s">
        <v>6096</v>
      </c>
    </row>
    <row r="117" customFormat="false" ht="44" hidden="false" customHeight="false" outlineLevel="0" collapsed="false">
      <c r="A117" s="7" t="s">
        <v>6094</v>
      </c>
      <c r="B117" s="7" t="s">
        <v>788</v>
      </c>
      <c r="C117" s="7" t="s">
        <v>2450</v>
      </c>
      <c r="D117" s="8" t="s">
        <v>6097</v>
      </c>
      <c r="E117" s="8" t="s">
        <v>793</v>
      </c>
      <c r="F117" s="7" t="s">
        <v>6098</v>
      </c>
    </row>
    <row r="118" customFormat="false" ht="58.2" hidden="false" customHeight="false" outlineLevel="0" collapsed="false">
      <c r="A118" s="7" t="s">
        <v>6094</v>
      </c>
      <c r="B118" s="7" t="s">
        <v>939</v>
      </c>
      <c r="C118" s="7" t="s">
        <v>2450</v>
      </c>
      <c r="D118" s="8" t="s">
        <v>6099</v>
      </c>
      <c r="E118" s="8" t="s">
        <v>944</v>
      </c>
      <c r="F118" s="7" t="s">
        <v>6100</v>
      </c>
    </row>
    <row r="119" customFormat="false" ht="44" hidden="false" customHeight="false" outlineLevel="0" collapsed="false">
      <c r="A119" s="7" t="s">
        <v>6094</v>
      </c>
      <c r="B119" s="7" t="s">
        <v>795</v>
      </c>
      <c r="C119" s="7" t="s">
        <v>2450</v>
      </c>
      <c r="D119" s="8" t="s">
        <v>6101</v>
      </c>
      <c r="E119" s="8" t="s">
        <v>800</v>
      </c>
      <c r="F119" s="7" t="s">
        <v>6102</v>
      </c>
    </row>
    <row r="120" customFormat="false" ht="44" hidden="false" customHeight="false" outlineLevel="0" collapsed="false">
      <c r="A120" s="7" t="s">
        <v>6094</v>
      </c>
      <c r="B120" s="7" t="s">
        <v>802</v>
      </c>
      <c r="C120" s="7" t="s">
        <v>2450</v>
      </c>
      <c r="D120" s="8" t="s">
        <v>6103</v>
      </c>
      <c r="E120" s="8" t="s">
        <v>807</v>
      </c>
      <c r="F120" s="7" t="s">
        <v>6102</v>
      </c>
    </row>
    <row r="121" customFormat="false" ht="58.2" hidden="false" customHeight="false" outlineLevel="0" collapsed="false">
      <c r="A121" s="7" t="s">
        <v>6094</v>
      </c>
      <c r="B121" s="7" t="s">
        <v>946</v>
      </c>
      <c r="C121" s="7" t="s">
        <v>2450</v>
      </c>
      <c r="D121" s="8" t="s">
        <v>6104</v>
      </c>
      <c r="E121" s="8" t="s">
        <v>951</v>
      </c>
      <c r="F121" s="7" t="s">
        <v>6105</v>
      </c>
    </row>
    <row r="122" customFormat="false" ht="58.2" hidden="false" customHeight="false" outlineLevel="0" collapsed="false">
      <c r="A122" s="7" t="s">
        <v>6094</v>
      </c>
      <c r="B122" s="7" t="s">
        <v>954</v>
      </c>
      <c r="C122" s="7" t="s">
        <v>2450</v>
      </c>
      <c r="D122" s="8" t="s">
        <v>6106</v>
      </c>
      <c r="E122" s="8" t="s">
        <v>959</v>
      </c>
      <c r="F122" s="7" t="s">
        <v>6102</v>
      </c>
    </row>
    <row r="123" customFormat="false" ht="58.2" hidden="false" customHeight="false" outlineLevel="0" collapsed="false">
      <c r="A123" s="7" t="s">
        <v>6094</v>
      </c>
      <c r="B123" s="7" t="s">
        <v>961</v>
      </c>
      <c r="C123" s="7" t="s">
        <v>2450</v>
      </c>
      <c r="D123" s="8" t="s">
        <v>6107</v>
      </c>
      <c r="E123" s="8" t="s">
        <v>966</v>
      </c>
      <c r="F123" s="7" t="s">
        <v>6108</v>
      </c>
    </row>
    <row r="124" customFormat="false" ht="29.85" hidden="false" customHeight="false" outlineLevel="0" collapsed="false">
      <c r="A124" s="7" t="s">
        <v>6094</v>
      </c>
      <c r="B124" s="7" t="s">
        <v>809</v>
      </c>
      <c r="C124" s="7" t="s">
        <v>6109</v>
      </c>
      <c r="D124" s="8" t="s">
        <v>6110</v>
      </c>
      <c r="E124" s="8" t="s">
        <v>811</v>
      </c>
      <c r="F124" s="7" t="s">
        <v>6111</v>
      </c>
    </row>
    <row r="125" customFormat="false" ht="58.2" hidden="false" customHeight="false" outlineLevel="0" collapsed="false">
      <c r="A125" s="7" t="s">
        <v>6094</v>
      </c>
      <c r="B125" s="7" t="s">
        <v>809</v>
      </c>
      <c r="C125" s="7" t="s">
        <v>2450</v>
      </c>
      <c r="D125" s="8" t="s">
        <v>6112</v>
      </c>
      <c r="E125" s="8" t="s">
        <v>814</v>
      </c>
      <c r="F125" s="7" t="s">
        <v>6113</v>
      </c>
    </row>
    <row r="126" customFormat="false" ht="44" hidden="false" customHeight="false" outlineLevel="0" collapsed="false">
      <c r="A126" s="7" t="s">
        <v>6094</v>
      </c>
      <c r="B126" s="7" t="s">
        <v>852</v>
      </c>
      <c r="C126" s="7" t="s">
        <v>2450</v>
      </c>
      <c r="D126" s="8" t="s">
        <v>6114</v>
      </c>
      <c r="E126" s="8" t="s">
        <v>857</v>
      </c>
      <c r="F126" s="7" t="s">
        <v>6115</v>
      </c>
    </row>
    <row r="127" customFormat="false" ht="29.85" hidden="false" customHeight="false" outlineLevel="0" collapsed="false">
      <c r="A127" s="7" t="s">
        <v>6094</v>
      </c>
      <c r="B127" s="7" t="s">
        <v>903</v>
      </c>
      <c r="C127" s="7" t="s">
        <v>6116</v>
      </c>
      <c r="D127" s="8" t="s">
        <v>6117</v>
      </c>
      <c r="E127" s="8" t="s">
        <v>906</v>
      </c>
      <c r="F127" s="7" t="s">
        <v>6118</v>
      </c>
    </row>
    <row r="128" customFormat="false" ht="25.35" hidden="false" customHeight="false" outlineLevel="0" collapsed="false">
      <c r="A128" s="7" t="s">
        <v>6094</v>
      </c>
      <c r="B128" s="7" t="s">
        <v>903</v>
      </c>
      <c r="C128" s="7" t="s">
        <v>6119</v>
      </c>
      <c r="D128" s="8" t="s">
        <v>6120</v>
      </c>
      <c r="E128" s="8" t="s">
        <v>907</v>
      </c>
      <c r="F128" s="7" t="s">
        <v>6121</v>
      </c>
    </row>
    <row r="129" customFormat="false" ht="15" hidden="false" customHeight="false" outlineLevel="0" collapsed="false">
      <c r="A129" s="7" t="s">
        <v>6094</v>
      </c>
      <c r="B129" s="7" t="s">
        <v>989</v>
      </c>
      <c r="C129" s="7" t="s">
        <v>6116</v>
      </c>
      <c r="D129" s="8" t="s">
        <v>6122</v>
      </c>
      <c r="E129" s="8" t="s">
        <v>992</v>
      </c>
      <c r="F129" s="8" t="s">
        <v>6123</v>
      </c>
    </row>
    <row r="130" customFormat="false" ht="58.2" hidden="false" customHeight="false" outlineLevel="0" collapsed="false">
      <c r="A130" s="7" t="s">
        <v>6094</v>
      </c>
      <c r="B130" s="7" t="s">
        <v>989</v>
      </c>
      <c r="C130" s="7" t="s">
        <v>2450</v>
      </c>
      <c r="D130" s="8" t="s">
        <v>6124</v>
      </c>
      <c r="E130" s="8" t="s">
        <v>994</v>
      </c>
      <c r="F130" s="7" t="s">
        <v>6125</v>
      </c>
    </row>
    <row r="131" customFormat="false" ht="58.2" hidden="false" customHeight="false" outlineLevel="0" collapsed="false">
      <c r="A131" s="7" t="s">
        <v>6094</v>
      </c>
      <c r="B131" s="7" t="s">
        <v>1032</v>
      </c>
      <c r="C131" s="7" t="s">
        <v>2450</v>
      </c>
      <c r="D131" s="8" t="s">
        <v>6126</v>
      </c>
      <c r="E131" s="8" t="s">
        <v>1038</v>
      </c>
      <c r="F131" s="8" t="s">
        <v>6127</v>
      </c>
    </row>
    <row r="132" customFormat="false" ht="15" hidden="false" customHeight="false" outlineLevel="0" collapsed="false">
      <c r="A132" s="7" t="s">
        <v>6094</v>
      </c>
      <c r="B132" s="7" t="s">
        <v>889</v>
      </c>
      <c r="C132" s="7" t="s">
        <v>6119</v>
      </c>
      <c r="D132" s="8" t="s">
        <v>6128</v>
      </c>
      <c r="E132" s="8" t="s">
        <v>893</v>
      </c>
      <c r="F132" s="8" t="s">
        <v>6129</v>
      </c>
    </row>
    <row r="133" customFormat="false" ht="44" hidden="false" customHeight="false" outlineLevel="0" collapsed="false">
      <c r="A133" s="7" t="s">
        <v>6094</v>
      </c>
      <c r="B133" s="7" t="s">
        <v>911</v>
      </c>
      <c r="C133" s="7" t="s">
        <v>2450</v>
      </c>
      <c r="D133" s="8" t="s">
        <v>6130</v>
      </c>
      <c r="E133" s="8" t="s">
        <v>916</v>
      </c>
      <c r="F133" s="8" t="s">
        <v>6129</v>
      </c>
    </row>
    <row r="134" customFormat="false" ht="25.35" hidden="false" customHeight="false" outlineLevel="0" collapsed="false">
      <c r="A134" s="7" t="s">
        <v>6094</v>
      </c>
      <c r="B134" s="7" t="s">
        <v>954</v>
      </c>
      <c r="C134" s="7" t="s">
        <v>6119</v>
      </c>
      <c r="D134" s="8" t="s">
        <v>6131</v>
      </c>
      <c r="E134" s="8" t="s">
        <v>958</v>
      </c>
      <c r="F134" s="8" t="s">
        <v>6129</v>
      </c>
    </row>
    <row r="135" customFormat="false" ht="15" hidden="false" customHeight="false" outlineLevel="0" collapsed="false">
      <c r="A135" s="7" t="s">
        <v>6094</v>
      </c>
      <c r="B135" s="7" t="s">
        <v>1018</v>
      </c>
      <c r="C135" s="7" t="s">
        <v>6119</v>
      </c>
      <c r="D135" s="8" t="s">
        <v>6132</v>
      </c>
      <c r="E135" s="8" t="s">
        <v>1022</v>
      </c>
      <c r="F135" s="8" t="s">
        <v>6129</v>
      </c>
    </row>
    <row r="136" customFormat="false" ht="29.85" hidden="false" customHeight="false" outlineLevel="0" collapsed="false">
      <c r="A136" s="7" t="s">
        <v>6055</v>
      </c>
      <c r="B136" s="7" t="s">
        <v>1936</v>
      </c>
      <c r="C136" s="7" t="s">
        <v>6056</v>
      </c>
      <c r="D136" s="8" t="s">
        <v>6133</v>
      </c>
      <c r="E136" s="8" t="s">
        <v>1939</v>
      </c>
      <c r="F136" s="8" t="s">
        <v>6129</v>
      </c>
    </row>
    <row r="137" customFormat="false" ht="29.85" hidden="false" customHeight="false" outlineLevel="0" collapsed="false">
      <c r="A137" s="7" t="s">
        <v>6134</v>
      </c>
      <c r="B137" s="7" t="s">
        <v>3482</v>
      </c>
      <c r="C137" s="7" t="s">
        <v>2450</v>
      </c>
      <c r="D137" s="8" t="s">
        <v>6135</v>
      </c>
      <c r="E137" s="8" t="s">
        <v>3484</v>
      </c>
      <c r="F137" s="7" t="s">
        <v>6136</v>
      </c>
    </row>
    <row r="138" customFormat="false" ht="29.85" hidden="false" customHeight="false" outlineLevel="0" collapsed="false">
      <c r="A138" s="7" t="s">
        <v>6134</v>
      </c>
      <c r="B138" s="7" t="s">
        <v>3485</v>
      </c>
      <c r="C138" s="7" t="s">
        <v>2450</v>
      </c>
      <c r="D138" s="8" t="s">
        <v>6137</v>
      </c>
      <c r="E138" s="8" t="s">
        <v>3487</v>
      </c>
      <c r="F138" s="7" t="s">
        <v>6138</v>
      </c>
    </row>
    <row r="139" customFormat="false" ht="29.85" hidden="false" customHeight="false" outlineLevel="0" collapsed="false">
      <c r="A139" s="7" t="s">
        <v>6134</v>
      </c>
      <c r="B139" s="7" t="s">
        <v>3492</v>
      </c>
      <c r="C139" s="7" t="s">
        <v>2450</v>
      </c>
      <c r="D139" s="8" t="s">
        <v>3494</v>
      </c>
      <c r="E139" s="8" t="s">
        <v>6139</v>
      </c>
      <c r="F139" s="7" t="s">
        <v>6140</v>
      </c>
    </row>
    <row r="140" customFormat="false" ht="29.85" hidden="false" customHeight="false" outlineLevel="0" collapsed="false">
      <c r="A140" s="7" t="s">
        <v>6134</v>
      </c>
      <c r="B140" s="7" t="s">
        <v>3500</v>
      </c>
      <c r="C140" s="7" t="s">
        <v>2450</v>
      </c>
      <c r="D140" s="8" t="s">
        <v>6141</v>
      </c>
      <c r="E140" s="8" t="s">
        <v>3502</v>
      </c>
      <c r="F140" s="7" t="s">
        <v>6142</v>
      </c>
    </row>
    <row r="141" customFormat="false" ht="29.85" hidden="false" customHeight="false" outlineLevel="0" collapsed="false">
      <c r="A141" s="7" t="s">
        <v>6143</v>
      </c>
      <c r="B141" s="7" t="s">
        <v>3526</v>
      </c>
      <c r="C141" s="7" t="s">
        <v>6144</v>
      </c>
      <c r="D141" s="8" t="s">
        <v>6145</v>
      </c>
      <c r="E141" s="8" t="s">
        <v>3529</v>
      </c>
      <c r="F141" s="7" t="s">
        <v>6146</v>
      </c>
    </row>
    <row r="142" customFormat="false" ht="15" hidden="false" customHeight="false" outlineLevel="0" collapsed="false">
      <c r="A142" s="7" t="s">
        <v>6143</v>
      </c>
      <c r="B142" s="7" t="s">
        <v>3530</v>
      </c>
      <c r="C142" s="7" t="s">
        <v>6109</v>
      </c>
      <c r="D142" s="8" t="s">
        <v>6147</v>
      </c>
      <c r="E142" s="8" t="s">
        <v>3532</v>
      </c>
      <c r="F142" s="7" t="s">
        <v>6148</v>
      </c>
    </row>
    <row r="143" customFormat="false" ht="29.85" hidden="false" customHeight="false" outlineLevel="0" collapsed="false">
      <c r="A143" s="7" t="s">
        <v>6143</v>
      </c>
      <c r="B143" s="7" t="s">
        <v>3596</v>
      </c>
      <c r="C143" s="7" t="s">
        <v>6144</v>
      </c>
      <c r="D143" s="8" t="s">
        <v>6149</v>
      </c>
      <c r="E143" s="8" t="s">
        <v>3600</v>
      </c>
      <c r="F143" s="8" t="s">
        <v>6150</v>
      </c>
    </row>
    <row r="144" customFormat="false" ht="29.85" hidden="false" customHeight="false" outlineLevel="0" collapsed="false">
      <c r="A144" s="7" t="s">
        <v>6143</v>
      </c>
      <c r="B144" s="7" t="s">
        <v>3611</v>
      </c>
      <c r="C144" s="7" t="s">
        <v>6144</v>
      </c>
      <c r="D144" s="8" t="s">
        <v>6151</v>
      </c>
      <c r="E144" s="8" t="s">
        <v>3615</v>
      </c>
      <c r="F144" s="7" t="s">
        <v>6152</v>
      </c>
    </row>
    <row r="145" customFormat="false" ht="15" hidden="false" customHeight="false" outlineLevel="0" collapsed="false">
      <c r="A145" s="7" t="s">
        <v>6143</v>
      </c>
      <c r="B145" s="7" t="s">
        <v>3627</v>
      </c>
      <c r="C145" s="7" t="s">
        <v>6109</v>
      </c>
      <c r="D145" s="8" t="s">
        <v>6153</v>
      </c>
      <c r="E145" s="8" t="s">
        <v>3630</v>
      </c>
      <c r="F145" s="7" t="s">
        <v>6154</v>
      </c>
    </row>
    <row r="146" customFormat="false" ht="29.85" hidden="false" customHeight="false" outlineLevel="0" collapsed="false">
      <c r="A146" s="7" t="s">
        <v>6143</v>
      </c>
      <c r="B146" s="7" t="s">
        <v>3632</v>
      </c>
      <c r="C146" s="7" t="s">
        <v>6144</v>
      </c>
      <c r="D146" s="8" t="s">
        <v>6155</v>
      </c>
      <c r="E146" s="8" t="s">
        <v>3636</v>
      </c>
      <c r="F146" s="7" t="s">
        <v>6156</v>
      </c>
    </row>
    <row r="147" customFormat="false" ht="29.85" hidden="false" customHeight="false" outlineLevel="0" collapsed="false">
      <c r="A147" s="7" t="s">
        <v>6143</v>
      </c>
      <c r="B147" s="7" t="s">
        <v>3642</v>
      </c>
      <c r="C147" s="7" t="s">
        <v>6144</v>
      </c>
      <c r="D147" s="8" t="s">
        <v>6157</v>
      </c>
      <c r="E147" s="8" t="s">
        <v>3646</v>
      </c>
      <c r="F147" s="7" t="s">
        <v>6152</v>
      </c>
    </row>
    <row r="148" customFormat="false" ht="58.2" hidden="false" customHeight="false" outlineLevel="0" collapsed="false">
      <c r="A148" s="7" t="s">
        <v>6158</v>
      </c>
      <c r="B148" s="7" t="s">
        <v>1057</v>
      </c>
      <c r="C148" s="7" t="s">
        <v>2450</v>
      </c>
      <c r="D148" s="8" t="s">
        <v>6159</v>
      </c>
      <c r="E148" s="8" t="s">
        <v>1062</v>
      </c>
      <c r="F148" s="7" t="s">
        <v>6160</v>
      </c>
    </row>
    <row r="149" customFormat="false" ht="58.2" hidden="false" customHeight="false" outlineLevel="0" collapsed="false">
      <c r="A149" s="7" t="s">
        <v>6158</v>
      </c>
      <c r="B149" s="7" t="s">
        <v>1099</v>
      </c>
      <c r="C149" s="7" t="s">
        <v>2450</v>
      </c>
      <c r="D149" s="8" t="s">
        <v>6161</v>
      </c>
      <c r="E149" s="8" t="s">
        <v>1104</v>
      </c>
      <c r="F149" s="7" t="s">
        <v>6162</v>
      </c>
    </row>
    <row r="150" customFormat="false" ht="72.35" hidden="false" customHeight="false" outlineLevel="0" collapsed="false">
      <c r="A150" s="7" t="s">
        <v>6158</v>
      </c>
      <c r="B150" s="7" t="s">
        <v>1142</v>
      </c>
      <c r="C150" s="7" t="s">
        <v>2450</v>
      </c>
      <c r="D150" s="8" t="s">
        <v>6163</v>
      </c>
      <c r="E150" s="8" t="s">
        <v>1147</v>
      </c>
      <c r="F150" s="7" t="s">
        <v>6164</v>
      </c>
    </row>
    <row r="151" customFormat="false" ht="58.2" hidden="false" customHeight="false" outlineLevel="0" collapsed="false">
      <c r="A151" s="7" t="s">
        <v>6158</v>
      </c>
      <c r="B151" s="7" t="s">
        <v>1149</v>
      </c>
      <c r="C151" s="7" t="s">
        <v>2450</v>
      </c>
      <c r="D151" s="8" t="s">
        <v>6165</v>
      </c>
      <c r="E151" s="8" t="s">
        <v>1154</v>
      </c>
      <c r="F151" s="7" t="s">
        <v>6166</v>
      </c>
    </row>
    <row r="152" customFormat="false" ht="58.2" hidden="false" customHeight="false" outlineLevel="0" collapsed="false">
      <c r="A152" s="7" t="s">
        <v>6158</v>
      </c>
      <c r="B152" s="7" t="s">
        <v>1170</v>
      </c>
      <c r="C152" s="7" t="s">
        <v>2450</v>
      </c>
      <c r="D152" s="8" t="s">
        <v>6167</v>
      </c>
      <c r="E152" s="8" t="s">
        <v>1175</v>
      </c>
      <c r="F152" s="8" t="s">
        <v>6168</v>
      </c>
    </row>
    <row r="153" customFormat="false" ht="25.35" hidden="false" customHeight="false" outlineLevel="0" collapsed="false">
      <c r="A153" s="7" t="s">
        <v>6158</v>
      </c>
      <c r="B153" s="7" t="s">
        <v>1256</v>
      </c>
      <c r="C153" s="7" t="s">
        <v>6116</v>
      </c>
      <c r="D153" s="8" t="s">
        <v>6169</v>
      </c>
      <c r="E153" s="8" t="s">
        <v>1259</v>
      </c>
      <c r="F153" s="7" t="s">
        <v>6170</v>
      </c>
    </row>
    <row r="154" customFormat="false" ht="86.55" hidden="false" customHeight="false" outlineLevel="0" collapsed="false">
      <c r="A154" s="7" t="s">
        <v>6158</v>
      </c>
      <c r="B154" s="7" t="s">
        <v>1270</v>
      </c>
      <c r="C154" s="7" t="s">
        <v>2450</v>
      </c>
      <c r="D154" s="8" t="s">
        <v>6171</v>
      </c>
      <c r="E154" s="8" t="s">
        <v>1275</v>
      </c>
      <c r="F154" s="7" t="s">
        <v>6172</v>
      </c>
    </row>
    <row r="155" customFormat="false" ht="58.2" hidden="false" customHeight="false" outlineLevel="0" collapsed="false">
      <c r="A155" s="7" t="s">
        <v>6158</v>
      </c>
      <c r="B155" s="7" t="s">
        <v>1277</v>
      </c>
      <c r="C155" s="7" t="s">
        <v>2450</v>
      </c>
      <c r="D155" s="8" t="s">
        <v>6173</v>
      </c>
      <c r="E155" s="8" t="s">
        <v>1282</v>
      </c>
      <c r="F155" s="7" t="s">
        <v>6174</v>
      </c>
    </row>
    <row r="156" customFormat="false" ht="25.35" hidden="false" customHeight="false" outlineLevel="0" collapsed="false">
      <c r="A156" s="7" t="s">
        <v>6158</v>
      </c>
      <c r="B156" s="7" t="s">
        <v>1292</v>
      </c>
      <c r="C156" s="7" t="s">
        <v>6109</v>
      </c>
      <c r="D156" s="8" t="s">
        <v>6175</v>
      </c>
      <c r="E156" s="8" t="s">
        <v>1294</v>
      </c>
      <c r="F156" s="7" t="s">
        <v>6176</v>
      </c>
    </row>
    <row r="157" customFormat="false" ht="72.35" hidden="false" customHeight="false" outlineLevel="0" collapsed="false">
      <c r="A157" s="7" t="s">
        <v>6158</v>
      </c>
      <c r="B157" s="7" t="s">
        <v>1292</v>
      </c>
      <c r="C157" s="7" t="s">
        <v>2450</v>
      </c>
      <c r="D157" s="8" t="s">
        <v>6177</v>
      </c>
      <c r="E157" s="8" t="s">
        <v>1297</v>
      </c>
      <c r="F157" s="7" t="s">
        <v>6178</v>
      </c>
    </row>
    <row r="158" customFormat="false" ht="25.35" hidden="false" customHeight="false" outlineLevel="0" collapsed="false">
      <c r="A158" s="7" t="s">
        <v>6158</v>
      </c>
      <c r="B158" s="7" t="s">
        <v>1292</v>
      </c>
      <c r="C158" s="7" t="s">
        <v>6179</v>
      </c>
      <c r="D158" s="8" t="s">
        <v>6180</v>
      </c>
      <c r="E158" s="8" t="s">
        <v>1298</v>
      </c>
      <c r="F158" s="7" t="s">
        <v>6181</v>
      </c>
    </row>
    <row r="159" customFormat="false" ht="58.2" hidden="false" customHeight="false" outlineLevel="0" collapsed="false">
      <c r="A159" s="7" t="s">
        <v>6158</v>
      </c>
      <c r="B159" s="7" t="s">
        <v>1356</v>
      </c>
      <c r="C159" s="7" t="s">
        <v>2450</v>
      </c>
      <c r="D159" s="8" t="s">
        <v>6182</v>
      </c>
      <c r="E159" s="8" t="s">
        <v>1361</v>
      </c>
      <c r="F159" s="8" t="s">
        <v>6183</v>
      </c>
    </row>
    <row r="160" customFormat="false" ht="58.2" hidden="false" customHeight="false" outlineLevel="0" collapsed="false">
      <c r="A160" s="7" t="s">
        <v>6158</v>
      </c>
      <c r="B160" s="7" t="s">
        <v>1377</v>
      </c>
      <c r="C160" s="7" t="s">
        <v>2450</v>
      </c>
      <c r="D160" s="8" t="s">
        <v>6184</v>
      </c>
      <c r="E160" s="8" t="s">
        <v>1382</v>
      </c>
      <c r="F160" s="8" t="s">
        <v>6185</v>
      </c>
    </row>
    <row r="161" customFormat="false" ht="58.2" hidden="false" customHeight="false" outlineLevel="0" collapsed="false">
      <c r="A161" s="7" t="s">
        <v>6158</v>
      </c>
      <c r="B161" s="7" t="s">
        <v>1384</v>
      </c>
      <c r="C161" s="7" t="s">
        <v>2450</v>
      </c>
      <c r="D161" s="8" t="s">
        <v>6186</v>
      </c>
      <c r="E161" s="8" t="s">
        <v>1389</v>
      </c>
      <c r="F161" s="7" t="s">
        <v>6187</v>
      </c>
    </row>
    <row r="162" customFormat="false" ht="72.35" hidden="false" customHeight="false" outlineLevel="0" collapsed="false">
      <c r="A162" s="7" t="s">
        <v>6158</v>
      </c>
      <c r="B162" s="7" t="s">
        <v>1419</v>
      </c>
      <c r="C162" s="7" t="s">
        <v>2450</v>
      </c>
      <c r="D162" s="8" t="s">
        <v>6188</v>
      </c>
      <c r="E162" s="8" t="s">
        <v>1424</v>
      </c>
      <c r="F162" s="8" t="s">
        <v>6189</v>
      </c>
    </row>
    <row r="163" customFormat="false" ht="25.35" hidden="false" customHeight="false" outlineLevel="0" collapsed="false">
      <c r="A163" s="7" t="s">
        <v>6158</v>
      </c>
      <c r="B163" s="7" t="s">
        <v>1440</v>
      </c>
      <c r="C163" s="7" t="s">
        <v>6119</v>
      </c>
      <c r="D163" s="8" t="s">
        <v>6190</v>
      </c>
      <c r="E163" s="8" t="s">
        <v>1444</v>
      </c>
      <c r="F163" s="8" t="s">
        <v>6191</v>
      </c>
    </row>
    <row r="164" customFormat="false" ht="58.2" hidden="false" customHeight="false" outlineLevel="0" collapsed="false">
      <c r="A164" s="7" t="s">
        <v>6158</v>
      </c>
      <c r="B164" s="7" t="s">
        <v>1434</v>
      </c>
      <c r="C164" s="7" t="s">
        <v>2450</v>
      </c>
      <c r="D164" s="8" t="s">
        <v>6192</v>
      </c>
      <c r="E164" s="8" t="s">
        <v>1439</v>
      </c>
      <c r="F164" s="7" t="s">
        <v>6193</v>
      </c>
    </row>
    <row r="165" customFormat="false" ht="72.35" hidden="false" customHeight="false" outlineLevel="0" collapsed="false">
      <c r="A165" s="7" t="s">
        <v>6158</v>
      </c>
      <c r="B165" s="7" t="s">
        <v>1461</v>
      </c>
      <c r="C165" s="7" t="s">
        <v>2450</v>
      </c>
      <c r="D165" s="8" t="s">
        <v>6194</v>
      </c>
      <c r="E165" s="8" t="s">
        <v>1466</v>
      </c>
      <c r="F165" s="7" t="s">
        <v>6195</v>
      </c>
    </row>
    <row r="166" customFormat="false" ht="72.35" hidden="false" customHeight="false" outlineLevel="0" collapsed="false">
      <c r="A166" s="7" t="s">
        <v>6158</v>
      </c>
      <c r="B166" s="7" t="s">
        <v>1078</v>
      </c>
      <c r="C166" s="7" t="s">
        <v>2450</v>
      </c>
      <c r="D166" s="8" t="s">
        <v>6196</v>
      </c>
      <c r="E166" s="8" t="s">
        <v>1083</v>
      </c>
      <c r="F166" s="7" t="s">
        <v>6197</v>
      </c>
    </row>
    <row r="167" customFormat="false" ht="58.2" hidden="false" customHeight="false" outlineLevel="0" collapsed="false">
      <c r="A167" s="7" t="s">
        <v>6158</v>
      </c>
      <c r="B167" s="7" t="s">
        <v>1106</v>
      </c>
      <c r="C167" s="7" t="s">
        <v>2450</v>
      </c>
      <c r="D167" s="8" t="s">
        <v>6198</v>
      </c>
      <c r="E167" s="8" t="s">
        <v>1111</v>
      </c>
      <c r="F167" s="8" t="s">
        <v>6199</v>
      </c>
    </row>
    <row r="168" customFormat="false" ht="58.2" hidden="false" customHeight="false" outlineLevel="0" collapsed="false">
      <c r="A168" s="7" t="s">
        <v>6158</v>
      </c>
      <c r="B168" s="7" t="s">
        <v>1114</v>
      </c>
      <c r="C168" s="7" t="s">
        <v>2450</v>
      </c>
      <c r="D168" s="8" t="s">
        <v>6200</v>
      </c>
      <c r="E168" s="8" t="s">
        <v>1119</v>
      </c>
      <c r="F168" s="8" t="s">
        <v>6199</v>
      </c>
    </row>
    <row r="169" customFormat="false" ht="72.35" hidden="false" customHeight="false" outlineLevel="0" collapsed="false">
      <c r="A169" s="7" t="s">
        <v>6158</v>
      </c>
      <c r="B169" s="7" t="s">
        <v>1121</v>
      </c>
      <c r="C169" s="7" t="s">
        <v>2450</v>
      </c>
      <c r="D169" s="8" t="s">
        <v>6201</v>
      </c>
      <c r="E169" s="8" t="s">
        <v>1126</v>
      </c>
      <c r="F169" s="8" t="s">
        <v>6202</v>
      </c>
    </row>
    <row r="170" customFormat="false" ht="58.2" hidden="false" customHeight="false" outlineLevel="0" collapsed="false">
      <c r="A170" s="7" t="s">
        <v>6158</v>
      </c>
      <c r="B170" s="7" t="s">
        <v>1128</v>
      </c>
      <c r="C170" s="7" t="s">
        <v>2450</v>
      </c>
      <c r="D170" s="8" t="s">
        <v>6203</v>
      </c>
      <c r="E170" s="8" t="s">
        <v>1133</v>
      </c>
      <c r="F170" s="8" t="s">
        <v>6199</v>
      </c>
    </row>
    <row r="171" customFormat="false" ht="58.2" hidden="false" customHeight="false" outlineLevel="0" collapsed="false">
      <c r="A171" s="7" t="s">
        <v>6158</v>
      </c>
      <c r="B171" s="7" t="s">
        <v>1135</v>
      </c>
      <c r="C171" s="7" t="s">
        <v>2450</v>
      </c>
      <c r="D171" s="8" t="s">
        <v>6204</v>
      </c>
      <c r="E171" s="8" t="s">
        <v>1140</v>
      </c>
      <c r="F171" s="8" t="s">
        <v>6199</v>
      </c>
    </row>
    <row r="172" customFormat="false" ht="58.2" hidden="false" customHeight="false" outlineLevel="0" collapsed="false">
      <c r="A172" s="7" t="s">
        <v>6158</v>
      </c>
      <c r="B172" s="7" t="s">
        <v>1156</v>
      </c>
      <c r="C172" s="7" t="s">
        <v>2450</v>
      </c>
      <c r="D172" s="8" t="s">
        <v>6205</v>
      </c>
      <c r="E172" s="8" t="s">
        <v>1161</v>
      </c>
      <c r="F172" s="8" t="s">
        <v>6199</v>
      </c>
    </row>
    <row r="173" customFormat="false" ht="72.35" hidden="false" customHeight="false" outlineLevel="0" collapsed="false">
      <c r="A173" s="7" t="s">
        <v>6158</v>
      </c>
      <c r="B173" s="7" t="s">
        <v>1163</v>
      </c>
      <c r="C173" s="7" t="s">
        <v>2450</v>
      </c>
      <c r="D173" s="8" t="s">
        <v>6206</v>
      </c>
      <c r="E173" s="8" t="s">
        <v>1168</v>
      </c>
      <c r="F173" s="8" t="s">
        <v>6202</v>
      </c>
    </row>
    <row r="174" customFormat="false" ht="58.2" hidden="false" customHeight="false" outlineLevel="0" collapsed="false">
      <c r="A174" s="7" t="s">
        <v>6158</v>
      </c>
      <c r="B174" s="7" t="s">
        <v>1177</v>
      </c>
      <c r="C174" s="7" t="s">
        <v>2450</v>
      </c>
      <c r="D174" s="8" t="s">
        <v>6207</v>
      </c>
      <c r="E174" s="8" t="s">
        <v>1182</v>
      </c>
      <c r="F174" s="8" t="s">
        <v>6199</v>
      </c>
    </row>
    <row r="175" customFormat="false" ht="72.35" hidden="false" customHeight="false" outlineLevel="0" collapsed="false">
      <c r="A175" s="7" t="s">
        <v>6158</v>
      </c>
      <c r="B175" s="7" t="s">
        <v>1184</v>
      </c>
      <c r="C175" s="7" t="s">
        <v>2450</v>
      </c>
      <c r="D175" s="8" t="s">
        <v>6208</v>
      </c>
      <c r="E175" s="8" t="s">
        <v>1189</v>
      </c>
      <c r="F175" s="8" t="s">
        <v>6202</v>
      </c>
    </row>
    <row r="176" customFormat="false" ht="58.2" hidden="false" customHeight="false" outlineLevel="0" collapsed="false">
      <c r="A176" s="7" t="s">
        <v>6158</v>
      </c>
      <c r="B176" s="7" t="s">
        <v>1227</v>
      </c>
      <c r="C176" s="7" t="s">
        <v>2450</v>
      </c>
      <c r="D176" s="8" t="s">
        <v>6209</v>
      </c>
      <c r="E176" s="8" t="s">
        <v>1232</v>
      </c>
      <c r="F176" s="7" t="s">
        <v>6197</v>
      </c>
    </row>
    <row r="177" customFormat="false" ht="58.2" hidden="false" customHeight="false" outlineLevel="0" collapsed="false">
      <c r="A177" s="7" t="s">
        <v>6158</v>
      </c>
      <c r="B177" s="7" t="s">
        <v>1249</v>
      </c>
      <c r="C177" s="7" t="s">
        <v>2450</v>
      </c>
      <c r="D177" s="8" t="s">
        <v>6210</v>
      </c>
      <c r="E177" s="8" t="s">
        <v>1254</v>
      </c>
      <c r="F177" s="7" t="s">
        <v>6197</v>
      </c>
    </row>
    <row r="178" customFormat="false" ht="58.2" hidden="false" customHeight="false" outlineLevel="0" collapsed="false">
      <c r="A178" s="7" t="s">
        <v>6158</v>
      </c>
      <c r="B178" s="7" t="s">
        <v>1256</v>
      </c>
      <c r="C178" s="7" t="s">
        <v>2450</v>
      </c>
      <c r="D178" s="8" t="s">
        <v>6211</v>
      </c>
      <c r="E178" s="8" t="s">
        <v>1261</v>
      </c>
      <c r="F178" s="8" t="s">
        <v>6199</v>
      </c>
    </row>
    <row r="179" customFormat="false" ht="58.2" hidden="false" customHeight="false" outlineLevel="0" collapsed="false">
      <c r="A179" s="7" t="s">
        <v>6158</v>
      </c>
      <c r="B179" s="7" t="s">
        <v>1263</v>
      </c>
      <c r="C179" s="7" t="s">
        <v>2450</v>
      </c>
      <c r="D179" s="8" t="s">
        <v>6212</v>
      </c>
      <c r="E179" s="8" t="s">
        <v>1268</v>
      </c>
      <c r="F179" s="8" t="s">
        <v>6199</v>
      </c>
    </row>
    <row r="180" customFormat="false" ht="44" hidden="false" customHeight="false" outlineLevel="0" collapsed="false">
      <c r="A180" s="7" t="s">
        <v>6158</v>
      </c>
      <c r="B180" s="7" t="s">
        <v>1285</v>
      </c>
      <c r="C180" s="7" t="s">
        <v>2450</v>
      </c>
      <c r="D180" s="8" t="s">
        <v>6213</v>
      </c>
      <c r="E180" s="8" t="s">
        <v>1290</v>
      </c>
      <c r="F180" s="8" t="s">
        <v>6199</v>
      </c>
    </row>
    <row r="181" customFormat="false" ht="58.2" hidden="false" customHeight="false" outlineLevel="0" collapsed="false">
      <c r="A181" s="7" t="s">
        <v>6158</v>
      </c>
      <c r="B181" s="7" t="s">
        <v>1299</v>
      </c>
      <c r="C181" s="7" t="s">
        <v>2450</v>
      </c>
      <c r="D181" s="8" t="s">
        <v>6214</v>
      </c>
      <c r="E181" s="8" t="s">
        <v>1304</v>
      </c>
      <c r="F181" s="8" t="s">
        <v>6199</v>
      </c>
    </row>
    <row r="182" customFormat="false" ht="58.2" hidden="false" customHeight="false" outlineLevel="0" collapsed="false">
      <c r="A182" s="7" t="s">
        <v>6158</v>
      </c>
      <c r="B182" s="7" t="s">
        <v>1306</v>
      </c>
      <c r="C182" s="7" t="s">
        <v>2450</v>
      </c>
      <c r="D182" s="8" t="s">
        <v>6215</v>
      </c>
      <c r="E182" s="8" t="s">
        <v>1311</v>
      </c>
      <c r="F182" s="8" t="s">
        <v>6199</v>
      </c>
    </row>
    <row r="183" customFormat="false" ht="58.2" hidden="false" customHeight="false" outlineLevel="0" collapsed="false">
      <c r="A183" s="7" t="s">
        <v>6158</v>
      </c>
      <c r="B183" s="7" t="s">
        <v>1313</v>
      </c>
      <c r="C183" s="7" t="s">
        <v>2450</v>
      </c>
      <c r="D183" s="8" t="s">
        <v>6216</v>
      </c>
      <c r="E183" s="8" t="s">
        <v>1318</v>
      </c>
      <c r="F183" s="8" t="s">
        <v>6202</v>
      </c>
    </row>
    <row r="184" customFormat="false" ht="58.2" hidden="false" customHeight="false" outlineLevel="0" collapsed="false">
      <c r="A184" s="7" t="s">
        <v>6158</v>
      </c>
      <c r="B184" s="7" t="s">
        <v>1320</v>
      </c>
      <c r="C184" s="7" t="s">
        <v>2450</v>
      </c>
      <c r="D184" s="8" t="s">
        <v>6217</v>
      </c>
      <c r="E184" s="8" t="s">
        <v>1325</v>
      </c>
      <c r="F184" s="8" t="s">
        <v>6199</v>
      </c>
    </row>
    <row r="185" customFormat="false" ht="58.2" hidden="false" customHeight="false" outlineLevel="0" collapsed="false">
      <c r="A185" s="7" t="s">
        <v>6158</v>
      </c>
      <c r="B185" s="7" t="s">
        <v>1327</v>
      </c>
      <c r="C185" s="7" t="s">
        <v>2450</v>
      </c>
      <c r="D185" s="8" t="s">
        <v>6218</v>
      </c>
      <c r="E185" s="8" t="s">
        <v>1332</v>
      </c>
      <c r="F185" s="8" t="s">
        <v>6199</v>
      </c>
    </row>
    <row r="186" customFormat="false" ht="72.35" hidden="false" customHeight="false" outlineLevel="0" collapsed="false">
      <c r="A186" s="7" t="s">
        <v>6158</v>
      </c>
      <c r="B186" s="7" t="s">
        <v>1334</v>
      </c>
      <c r="C186" s="7" t="s">
        <v>2450</v>
      </c>
      <c r="D186" s="8" t="s">
        <v>6219</v>
      </c>
      <c r="E186" s="8" t="s">
        <v>1339</v>
      </c>
      <c r="F186" s="8" t="s">
        <v>6202</v>
      </c>
    </row>
    <row r="187" customFormat="false" ht="58.2" hidden="false" customHeight="false" outlineLevel="0" collapsed="false">
      <c r="A187" s="7" t="s">
        <v>6158</v>
      </c>
      <c r="B187" s="7" t="s">
        <v>1398</v>
      </c>
      <c r="C187" s="7" t="s">
        <v>2450</v>
      </c>
      <c r="D187" s="8" t="s">
        <v>6220</v>
      </c>
      <c r="E187" s="8" t="s">
        <v>1403</v>
      </c>
      <c r="F187" s="7" t="s">
        <v>6197</v>
      </c>
    </row>
    <row r="188" customFormat="false" ht="58.2" hidden="false" customHeight="false" outlineLevel="0" collapsed="false">
      <c r="A188" s="7" t="s">
        <v>6158</v>
      </c>
      <c r="B188" s="7" t="s">
        <v>1405</v>
      </c>
      <c r="C188" s="7" t="s">
        <v>2450</v>
      </c>
      <c r="D188" s="8" t="s">
        <v>6221</v>
      </c>
      <c r="E188" s="8" t="s">
        <v>1410</v>
      </c>
      <c r="F188" s="8" t="s">
        <v>6199</v>
      </c>
    </row>
    <row r="189" customFormat="false" ht="58.2" hidden="false" customHeight="false" outlineLevel="0" collapsed="false">
      <c r="A189" s="7" t="s">
        <v>6158</v>
      </c>
      <c r="B189" s="7" t="s">
        <v>1412</v>
      </c>
      <c r="C189" s="7" t="s">
        <v>2450</v>
      </c>
      <c r="D189" s="8" t="s">
        <v>6222</v>
      </c>
      <c r="E189" s="8" t="s">
        <v>1417</v>
      </c>
      <c r="F189" s="8" t="s">
        <v>6199</v>
      </c>
    </row>
    <row r="190" customFormat="false" ht="58.2" hidden="false" customHeight="false" outlineLevel="0" collapsed="false">
      <c r="A190" s="7" t="s">
        <v>6158</v>
      </c>
      <c r="B190" s="7" t="s">
        <v>1427</v>
      </c>
      <c r="C190" s="7" t="s">
        <v>2450</v>
      </c>
      <c r="D190" s="8" t="s">
        <v>6223</v>
      </c>
      <c r="E190" s="8" t="s">
        <v>1432</v>
      </c>
      <c r="F190" s="8" t="s">
        <v>6199</v>
      </c>
    </row>
    <row r="191" customFormat="false" ht="58.2" hidden="false" customHeight="false" outlineLevel="0" collapsed="false">
      <c r="A191" s="7" t="s">
        <v>6158</v>
      </c>
      <c r="B191" s="7" t="s">
        <v>1440</v>
      </c>
      <c r="C191" s="7" t="s">
        <v>2450</v>
      </c>
      <c r="D191" s="8" t="s">
        <v>6224</v>
      </c>
      <c r="E191" s="8" t="s">
        <v>1445</v>
      </c>
      <c r="F191" s="8" t="s">
        <v>6202</v>
      </c>
    </row>
    <row r="192" customFormat="false" ht="58.2" hidden="false" customHeight="false" outlineLevel="0" collapsed="false">
      <c r="A192" s="7" t="s">
        <v>6158</v>
      </c>
      <c r="B192" s="7" t="s">
        <v>1447</v>
      </c>
      <c r="C192" s="7" t="s">
        <v>2450</v>
      </c>
      <c r="D192" s="8" t="s">
        <v>6225</v>
      </c>
      <c r="E192" s="8" t="s">
        <v>1452</v>
      </c>
      <c r="F192" s="8" t="s">
        <v>6199</v>
      </c>
    </row>
    <row r="193" customFormat="false" ht="58.2" hidden="false" customHeight="false" outlineLevel="0" collapsed="false">
      <c r="A193" s="7" t="s">
        <v>6158</v>
      </c>
      <c r="B193" s="7" t="s">
        <v>1454</v>
      </c>
      <c r="C193" s="7" t="s">
        <v>2450</v>
      </c>
      <c r="D193" s="8" t="s">
        <v>6226</v>
      </c>
      <c r="E193" s="8" t="s">
        <v>1459</v>
      </c>
      <c r="F193" s="8" t="s">
        <v>6199</v>
      </c>
    </row>
    <row r="194" customFormat="false" ht="58.2" hidden="false" customHeight="false" outlineLevel="0" collapsed="false">
      <c r="A194" s="7" t="s">
        <v>6158</v>
      </c>
      <c r="B194" s="7" t="s">
        <v>1468</v>
      </c>
      <c r="C194" s="7" t="s">
        <v>2450</v>
      </c>
      <c r="D194" s="8" t="s">
        <v>6227</v>
      </c>
      <c r="E194" s="8" t="s">
        <v>1473</v>
      </c>
      <c r="F194" s="8" t="s">
        <v>6228</v>
      </c>
    </row>
    <row r="195" customFormat="false" ht="58.2" hidden="false" customHeight="false" outlineLevel="0" collapsed="false">
      <c r="A195" s="7" t="s">
        <v>6158</v>
      </c>
      <c r="B195" s="7" t="s">
        <v>1475</v>
      </c>
      <c r="C195" s="7" t="s">
        <v>2450</v>
      </c>
      <c r="D195" s="8" t="s">
        <v>6229</v>
      </c>
      <c r="E195" s="8" t="s">
        <v>1480</v>
      </c>
      <c r="F195" s="8" t="s">
        <v>6199</v>
      </c>
    </row>
    <row r="196" customFormat="false" ht="72.35" hidden="false" customHeight="false" outlineLevel="0" collapsed="false">
      <c r="A196" s="7" t="s">
        <v>6158</v>
      </c>
      <c r="B196" s="7" t="s">
        <v>1482</v>
      </c>
      <c r="C196" s="7" t="s">
        <v>2450</v>
      </c>
      <c r="D196" s="8" t="s">
        <v>6230</v>
      </c>
      <c r="E196" s="8" t="s">
        <v>1487</v>
      </c>
      <c r="F196" s="8" t="s">
        <v>6202</v>
      </c>
    </row>
    <row r="197" customFormat="false" ht="58.2" hidden="false" customHeight="false" outlineLevel="0" collapsed="false">
      <c r="A197" s="7" t="s">
        <v>6158</v>
      </c>
      <c r="B197" s="7" t="s">
        <v>1206</v>
      </c>
      <c r="C197" s="7" t="s">
        <v>2450</v>
      </c>
      <c r="D197" s="8" t="s">
        <v>6231</v>
      </c>
      <c r="E197" s="8" t="s">
        <v>1211</v>
      </c>
      <c r="F197" s="7" t="s">
        <v>6197</v>
      </c>
    </row>
    <row r="198" customFormat="false" ht="29.85" hidden="false" customHeight="false" outlineLevel="0" collapsed="false">
      <c r="A198" s="7" t="s">
        <v>6232</v>
      </c>
      <c r="B198" s="7" t="s">
        <v>1965</v>
      </c>
      <c r="C198" s="7" t="s">
        <v>2038</v>
      </c>
      <c r="D198" s="8" t="s">
        <v>6233</v>
      </c>
      <c r="E198" s="8" t="s">
        <v>1969</v>
      </c>
      <c r="F198" s="7" t="s">
        <v>6234</v>
      </c>
    </row>
    <row r="199" customFormat="false" ht="29.85" hidden="false" customHeight="false" outlineLevel="0" collapsed="false">
      <c r="A199" s="7" t="s">
        <v>6232</v>
      </c>
      <c r="B199" s="7" t="s">
        <v>1987</v>
      </c>
      <c r="C199" s="7" t="s">
        <v>2047</v>
      </c>
      <c r="D199" s="8" t="s">
        <v>6235</v>
      </c>
      <c r="E199" s="8" t="s">
        <v>1991</v>
      </c>
      <c r="F199" s="7" t="s">
        <v>6236</v>
      </c>
    </row>
    <row r="200" customFormat="false" ht="44" hidden="false" customHeight="false" outlineLevel="0" collapsed="false">
      <c r="A200" s="7" t="s">
        <v>6232</v>
      </c>
      <c r="B200" s="7" t="s">
        <v>2014</v>
      </c>
      <c r="C200" s="7" t="s">
        <v>2038</v>
      </c>
      <c r="D200" s="8" t="s">
        <v>6237</v>
      </c>
      <c r="E200" s="8" t="s">
        <v>2017</v>
      </c>
      <c r="F200" s="7" t="s">
        <v>6238</v>
      </c>
    </row>
    <row r="201" customFormat="false" ht="29.85" hidden="false" customHeight="false" outlineLevel="0" collapsed="false">
      <c r="A201" s="7" t="s">
        <v>6232</v>
      </c>
      <c r="B201" s="7" t="s">
        <v>2014</v>
      </c>
      <c r="C201" s="7" t="s">
        <v>2047</v>
      </c>
      <c r="D201" s="8" t="s">
        <v>6239</v>
      </c>
      <c r="E201" s="8" t="s">
        <v>2018</v>
      </c>
      <c r="F201" s="8" t="s">
        <v>6240</v>
      </c>
    </row>
    <row r="202" customFormat="false" ht="29.85" hidden="false" customHeight="false" outlineLevel="0" collapsed="false">
      <c r="A202" s="7" t="s">
        <v>6241</v>
      </c>
      <c r="B202" s="7" t="s">
        <v>4081</v>
      </c>
      <c r="C202" s="7" t="s">
        <v>6242</v>
      </c>
      <c r="D202" s="8" t="s">
        <v>6243</v>
      </c>
      <c r="E202" s="8" t="s">
        <v>4083</v>
      </c>
      <c r="F202" s="7" t="s">
        <v>6244</v>
      </c>
    </row>
    <row r="203" customFormat="false" ht="44" hidden="false" customHeight="false" outlineLevel="0" collapsed="false">
      <c r="A203" s="7" t="s">
        <v>6245</v>
      </c>
      <c r="B203" s="7" t="s">
        <v>3702</v>
      </c>
      <c r="C203" s="7" t="s">
        <v>6246</v>
      </c>
      <c r="D203" s="8" t="s">
        <v>6247</v>
      </c>
      <c r="E203" s="8" t="s">
        <v>3707</v>
      </c>
      <c r="F203" s="7" t="s">
        <v>6248</v>
      </c>
    </row>
    <row r="204" customFormat="false" ht="15" hidden="false" customHeight="false" outlineLevel="0" collapsed="false">
      <c r="A204" s="7" t="s">
        <v>6245</v>
      </c>
      <c r="B204" s="7" t="s">
        <v>3708</v>
      </c>
      <c r="C204" s="7" t="s">
        <v>6249</v>
      </c>
      <c r="D204" s="8" t="s">
        <v>6250</v>
      </c>
      <c r="E204" s="8" t="s">
        <v>3709</v>
      </c>
      <c r="F204" s="7" t="s">
        <v>6251</v>
      </c>
    </row>
    <row r="205" customFormat="false" ht="44" hidden="false" customHeight="false" outlineLevel="0" collapsed="false">
      <c r="A205" s="7" t="s">
        <v>6245</v>
      </c>
      <c r="B205" s="7" t="s">
        <v>3715</v>
      </c>
      <c r="C205" s="7" t="s">
        <v>6246</v>
      </c>
      <c r="D205" s="8" t="s">
        <v>6252</v>
      </c>
      <c r="E205" s="8" t="s">
        <v>3720</v>
      </c>
      <c r="F205" s="8" t="s">
        <v>6253</v>
      </c>
    </row>
    <row r="206" customFormat="false" ht="44" hidden="false" customHeight="false" outlineLevel="0" collapsed="false">
      <c r="A206" s="7" t="s">
        <v>6245</v>
      </c>
      <c r="B206" s="7" t="s">
        <v>3721</v>
      </c>
      <c r="C206" s="7" t="s">
        <v>6246</v>
      </c>
      <c r="D206" s="8" t="s">
        <v>6254</v>
      </c>
      <c r="E206" s="8" t="s">
        <v>3726</v>
      </c>
      <c r="F206" s="7" t="s">
        <v>6255</v>
      </c>
    </row>
    <row r="207" customFormat="false" ht="15" hidden="false" customHeight="false" outlineLevel="0" collapsed="false">
      <c r="A207" s="7" t="s">
        <v>6245</v>
      </c>
      <c r="B207" s="7" t="s">
        <v>3727</v>
      </c>
      <c r="C207" s="7" t="s">
        <v>6256</v>
      </c>
      <c r="D207" s="8" t="s">
        <v>6257</v>
      </c>
      <c r="E207" s="8" t="s">
        <v>3731</v>
      </c>
      <c r="F207" s="8" t="s">
        <v>6258</v>
      </c>
    </row>
    <row r="208" customFormat="false" ht="29.85" hidden="false" customHeight="false" outlineLevel="0" collapsed="false">
      <c r="A208" s="7" t="s">
        <v>6245</v>
      </c>
      <c r="B208" s="7" t="s">
        <v>3764</v>
      </c>
      <c r="C208" s="7" t="s">
        <v>6256</v>
      </c>
      <c r="D208" s="8" t="s">
        <v>6259</v>
      </c>
      <c r="E208" s="8" t="s">
        <v>3768</v>
      </c>
      <c r="F208" s="7" t="s">
        <v>6260</v>
      </c>
    </row>
    <row r="209" customFormat="false" ht="58.2" hidden="false" customHeight="false" outlineLevel="0" collapsed="false">
      <c r="A209" s="7" t="s">
        <v>6245</v>
      </c>
      <c r="B209" s="7" t="s">
        <v>3789</v>
      </c>
      <c r="C209" s="7" t="s">
        <v>6246</v>
      </c>
      <c r="D209" s="8" t="s">
        <v>6261</v>
      </c>
      <c r="E209" s="8" t="s">
        <v>3794</v>
      </c>
      <c r="F209" s="7" t="s">
        <v>6262</v>
      </c>
    </row>
    <row r="210" customFormat="false" ht="15" hidden="false" customHeight="false" outlineLevel="0" collapsed="false">
      <c r="A210" s="7" t="s">
        <v>6245</v>
      </c>
      <c r="B210" s="7" t="s">
        <v>3795</v>
      </c>
      <c r="C210" s="7" t="s">
        <v>6249</v>
      </c>
      <c r="D210" s="8" t="s">
        <v>6263</v>
      </c>
      <c r="E210" s="8" t="s">
        <v>3796</v>
      </c>
      <c r="F210" s="7" t="s">
        <v>6264</v>
      </c>
    </row>
    <row r="211" customFormat="false" ht="15" hidden="false" customHeight="false" outlineLevel="0" collapsed="false">
      <c r="A211" s="7" t="s">
        <v>6245</v>
      </c>
      <c r="B211" s="7" t="s">
        <v>3801</v>
      </c>
      <c r="C211" s="7" t="s">
        <v>6256</v>
      </c>
      <c r="D211" s="8" t="s">
        <v>6265</v>
      </c>
      <c r="E211" s="8" t="s">
        <v>3805</v>
      </c>
      <c r="F211" s="7" t="s">
        <v>6264</v>
      </c>
    </row>
    <row r="212" customFormat="false" ht="44" hidden="false" customHeight="false" outlineLevel="0" collapsed="false">
      <c r="A212" s="7" t="s">
        <v>6245</v>
      </c>
      <c r="B212" s="7" t="s">
        <v>3826</v>
      </c>
      <c r="C212" s="7" t="s">
        <v>6246</v>
      </c>
      <c r="D212" s="8" t="s">
        <v>6266</v>
      </c>
      <c r="E212" s="8" t="s">
        <v>3831</v>
      </c>
      <c r="F212" s="7" t="s">
        <v>6267</v>
      </c>
    </row>
    <row r="213" customFormat="false" ht="44" hidden="false" customHeight="false" outlineLevel="0" collapsed="false">
      <c r="A213" s="7" t="s">
        <v>6245</v>
      </c>
      <c r="B213" s="7" t="s">
        <v>3899</v>
      </c>
      <c r="C213" s="7" t="s">
        <v>6246</v>
      </c>
      <c r="D213" s="8" t="s">
        <v>6268</v>
      </c>
      <c r="E213" s="8" t="s">
        <v>3904</v>
      </c>
      <c r="F213" s="8" t="s">
        <v>6269</v>
      </c>
    </row>
    <row r="214" customFormat="false" ht="29.85" hidden="false" customHeight="false" outlineLevel="0" collapsed="false">
      <c r="A214" s="7" t="s">
        <v>6245</v>
      </c>
      <c r="B214" s="7" t="s">
        <v>3924</v>
      </c>
      <c r="C214" s="7" t="s">
        <v>6270</v>
      </c>
      <c r="D214" s="8" t="s">
        <v>6271</v>
      </c>
      <c r="E214" s="8" t="s">
        <v>3926</v>
      </c>
      <c r="F214" s="8" t="s">
        <v>6272</v>
      </c>
    </row>
    <row r="215" customFormat="false" ht="29.85" hidden="false" customHeight="false" outlineLevel="0" collapsed="false">
      <c r="A215" s="7" t="s">
        <v>6245</v>
      </c>
      <c r="B215" s="7" t="s">
        <v>3936</v>
      </c>
      <c r="C215" s="7" t="s">
        <v>6256</v>
      </c>
      <c r="D215" s="8" t="s">
        <v>6273</v>
      </c>
      <c r="E215" s="8" t="s">
        <v>3940</v>
      </c>
      <c r="F215" s="7" t="s">
        <v>6274</v>
      </c>
    </row>
    <row r="216" customFormat="false" ht="15" hidden="false" customHeight="false" outlineLevel="0" collapsed="false">
      <c r="A216" s="7" t="s">
        <v>6245</v>
      </c>
      <c r="B216" s="7" t="s">
        <v>3972</v>
      </c>
      <c r="C216" s="7" t="s">
        <v>6249</v>
      </c>
      <c r="D216" s="8" t="s">
        <v>6275</v>
      </c>
      <c r="E216" s="8" t="s">
        <v>3973</v>
      </c>
      <c r="F216" s="7" t="s">
        <v>6276</v>
      </c>
    </row>
    <row r="217" customFormat="false" ht="44" hidden="false" customHeight="false" outlineLevel="0" collapsed="false">
      <c r="A217" s="7" t="s">
        <v>6245</v>
      </c>
      <c r="B217" s="7" t="s">
        <v>3993</v>
      </c>
      <c r="C217" s="7" t="s">
        <v>6246</v>
      </c>
      <c r="D217" s="8" t="s">
        <v>6277</v>
      </c>
      <c r="E217" s="8" t="s">
        <v>3998</v>
      </c>
      <c r="F217" s="7" t="s">
        <v>6278</v>
      </c>
    </row>
    <row r="218" customFormat="false" ht="29.85" hidden="false" customHeight="false" outlineLevel="0" collapsed="false">
      <c r="A218" s="7" t="s">
        <v>6279</v>
      </c>
      <c r="B218" s="7" t="s">
        <v>1775</v>
      </c>
      <c r="C218" s="7" t="s">
        <v>6280</v>
      </c>
      <c r="D218" s="8" t="s">
        <v>6281</v>
      </c>
      <c r="E218" s="8" t="s">
        <v>1777</v>
      </c>
      <c r="F218" s="7" t="s">
        <v>6282</v>
      </c>
    </row>
    <row r="219" customFormat="false" ht="29.85" hidden="false" customHeight="false" outlineLevel="0" collapsed="false">
      <c r="A219" s="7" t="s">
        <v>6279</v>
      </c>
      <c r="B219" s="7" t="s">
        <v>1781</v>
      </c>
      <c r="C219" s="7" t="s">
        <v>6280</v>
      </c>
      <c r="D219" s="8" t="s">
        <v>6283</v>
      </c>
      <c r="E219" s="8" t="s">
        <v>1783</v>
      </c>
      <c r="F219" s="7" t="s">
        <v>6284</v>
      </c>
    </row>
    <row r="220" customFormat="false" ht="29.85" hidden="false" customHeight="false" outlineLevel="0" collapsed="false">
      <c r="A220" s="7" t="s">
        <v>6279</v>
      </c>
      <c r="B220" s="7" t="s">
        <v>1797</v>
      </c>
      <c r="C220" s="7" t="s">
        <v>6280</v>
      </c>
      <c r="D220" s="8" t="s">
        <v>6285</v>
      </c>
      <c r="E220" s="8" t="s">
        <v>1799</v>
      </c>
      <c r="F220" s="7" t="s">
        <v>6286</v>
      </c>
    </row>
    <row r="221" customFormat="false" ht="44" hidden="false" customHeight="false" outlineLevel="0" collapsed="false">
      <c r="A221" s="7" t="s">
        <v>6287</v>
      </c>
      <c r="B221" s="7" t="s">
        <v>2294</v>
      </c>
      <c r="C221" s="7" t="s">
        <v>2487</v>
      </c>
      <c r="D221" s="8" t="s">
        <v>6288</v>
      </c>
      <c r="E221" s="8" t="s">
        <v>6289</v>
      </c>
      <c r="F221" s="7" t="s">
        <v>6290</v>
      </c>
    </row>
    <row r="222" customFormat="false" ht="44" hidden="false" customHeight="false" outlineLevel="0" collapsed="false">
      <c r="A222" s="7" t="s">
        <v>6287</v>
      </c>
      <c r="B222" s="7" t="s">
        <v>2311</v>
      </c>
      <c r="C222" s="7" t="s">
        <v>2487</v>
      </c>
      <c r="D222" s="8" t="s">
        <v>6291</v>
      </c>
      <c r="E222" s="8" t="s">
        <v>6292</v>
      </c>
      <c r="F222" s="7" t="s">
        <v>6290</v>
      </c>
    </row>
    <row r="223" customFormat="false" ht="44" hidden="false" customHeight="false" outlineLevel="0" collapsed="false">
      <c r="A223" s="7" t="s">
        <v>6287</v>
      </c>
      <c r="B223" s="7" t="s">
        <v>2325</v>
      </c>
      <c r="C223" s="7" t="s">
        <v>2487</v>
      </c>
      <c r="D223" s="8" t="s">
        <v>6293</v>
      </c>
      <c r="E223" s="8" t="s">
        <v>6294</v>
      </c>
      <c r="F223" s="7" t="s">
        <v>6290</v>
      </c>
    </row>
    <row r="224" customFormat="false" ht="58.2" hidden="false" customHeight="false" outlineLevel="0" collapsed="false">
      <c r="A224" s="7" t="s">
        <v>6287</v>
      </c>
      <c r="B224" s="7" t="s">
        <v>2341</v>
      </c>
      <c r="C224" s="7" t="s">
        <v>2487</v>
      </c>
      <c r="D224" s="8" t="s">
        <v>6295</v>
      </c>
      <c r="E224" s="8" t="s">
        <v>6296</v>
      </c>
      <c r="F224" s="7" t="s">
        <v>6290</v>
      </c>
    </row>
    <row r="225" customFormat="false" ht="58.2" hidden="false" customHeight="false" outlineLevel="0" collapsed="false">
      <c r="A225" s="7" t="s">
        <v>6287</v>
      </c>
      <c r="B225" s="7" t="s">
        <v>2355</v>
      </c>
      <c r="C225" s="7" t="s">
        <v>2487</v>
      </c>
      <c r="D225" s="8" t="s">
        <v>6297</v>
      </c>
      <c r="E225" s="8" t="s">
        <v>6298</v>
      </c>
      <c r="F225" s="7" t="s">
        <v>6290</v>
      </c>
    </row>
    <row r="226" customFormat="false" ht="44" hidden="false" customHeight="false" outlineLevel="0" collapsed="false">
      <c r="A226" s="7" t="s">
        <v>6287</v>
      </c>
      <c r="B226" s="7" t="s">
        <v>2369</v>
      </c>
      <c r="C226" s="7" t="s">
        <v>2487</v>
      </c>
      <c r="D226" s="8" t="s">
        <v>6299</v>
      </c>
      <c r="E226" s="8" t="s">
        <v>6300</v>
      </c>
      <c r="F226" s="7" t="s">
        <v>6290</v>
      </c>
    </row>
    <row r="227" customFormat="false" ht="58.2" hidden="false" customHeight="false" outlineLevel="0" collapsed="false">
      <c r="A227" s="7" t="s">
        <v>6287</v>
      </c>
      <c r="B227" s="7" t="s">
        <v>2384</v>
      </c>
      <c r="C227" s="7" t="s">
        <v>2487</v>
      </c>
      <c r="D227" s="8" t="s">
        <v>6301</v>
      </c>
      <c r="E227" s="8" t="s">
        <v>6302</v>
      </c>
      <c r="F227" s="7" t="s">
        <v>6290</v>
      </c>
    </row>
    <row r="228" customFormat="false" ht="58.2" hidden="false" customHeight="false" outlineLevel="0" collapsed="false">
      <c r="A228" s="7" t="s">
        <v>6287</v>
      </c>
      <c r="B228" s="7" t="s">
        <v>2399</v>
      </c>
      <c r="C228" s="7" t="s">
        <v>2487</v>
      </c>
      <c r="D228" s="8" t="s">
        <v>6303</v>
      </c>
      <c r="E228" s="8" t="s">
        <v>6304</v>
      </c>
      <c r="F228" s="7" t="s">
        <v>6290</v>
      </c>
    </row>
    <row r="229" customFormat="false" ht="44" hidden="false" customHeight="false" outlineLevel="0" collapsed="false">
      <c r="A229" s="7" t="s">
        <v>6287</v>
      </c>
      <c r="B229" s="7" t="s">
        <v>2414</v>
      </c>
      <c r="C229" s="7" t="s">
        <v>2487</v>
      </c>
      <c r="D229" s="8" t="s">
        <v>6305</v>
      </c>
      <c r="E229" s="8" t="s">
        <v>6306</v>
      </c>
      <c r="F229" s="7" t="s">
        <v>6290</v>
      </c>
    </row>
    <row r="230" customFormat="false" ht="44" hidden="false" customHeight="false" outlineLevel="0" collapsed="false">
      <c r="A230" s="7" t="s">
        <v>6287</v>
      </c>
      <c r="B230" s="7" t="s">
        <v>2429</v>
      </c>
      <c r="C230" s="7" t="s">
        <v>2487</v>
      </c>
      <c r="D230" s="8" t="s">
        <v>6307</v>
      </c>
      <c r="E230" s="8" t="s">
        <v>6308</v>
      </c>
      <c r="F230" s="7" t="s">
        <v>6290</v>
      </c>
    </row>
    <row r="231" customFormat="false" ht="58.2" hidden="false" customHeight="false" outlineLevel="0" collapsed="false">
      <c r="A231" s="7" t="s">
        <v>6287</v>
      </c>
      <c r="B231" s="7" t="s">
        <v>2308</v>
      </c>
      <c r="C231" s="7" t="s">
        <v>2450</v>
      </c>
      <c r="D231" s="8" t="s">
        <v>6309</v>
      </c>
      <c r="E231" s="8" t="s">
        <v>6310</v>
      </c>
      <c r="F231" s="7" t="s">
        <v>6311</v>
      </c>
    </row>
    <row r="232" customFormat="false" ht="72.35" hidden="false" customHeight="false" outlineLevel="0" collapsed="false">
      <c r="A232" s="7" t="s">
        <v>6287</v>
      </c>
      <c r="B232" s="7" t="s">
        <v>2315</v>
      </c>
      <c r="C232" s="7" t="s">
        <v>2450</v>
      </c>
      <c r="D232" s="8" t="s">
        <v>6312</v>
      </c>
      <c r="E232" s="8" t="s">
        <v>6313</v>
      </c>
      <c r="F232" s="7" t="s">
        <v>6314</v>
      </c>
    </row>
    <row r="233" customFormat="false" ht="72.35" hidden="false" customHeight="false" outlineLevel="0" collapsed="false">
      <c r="A233" s="7" t="s">
        <v>6287</v>
      </c>
      <c r="B233" s="7" t="s">
        <v>2337</v>
      </c>
      <c r="C233" s="7" t="s">
        <v>2450</v>
      </c>
      <c r="D233" s="8" t="s">
        <v>6315</v>
      </c>
      <c r="E233" s="8" t="s">
        <v>6316</v>
      </c>
      <c r="F233" s="8" t="s">
        <v>6317</v>
      </c>
    </row>
    <row r="234" customFormat="false" ht="58.2" hidden="false" customHeight="false" outlineLevel="0" collapsed="false">
      <c r="A234" s="7" t="s">
        <v>6287</v>
      </c>
      <c r="B234" s="7" t="s">
        <v>2341</v>
      </c>
      <c r="C234" s="7" t="s">
        <v>2450</v>
      </c>
      <c r="D234" s="7" t="s">
        <v>6318</v>
      </c>
      <c r="E234" s="7" t="s">
        <v>2342</v>
      </c>
      <c r="F234" s="7" t="s">
        <v>6319</v>
      </c>
    </row>
    <row r="235" customFormat="false" ht="15" hidden="false" customHeight="false" outlineLevel="0" collapsed="false">
      <c r="A235" s="7" t="s">
        <v>6287</v>
      </c>
      <c r="B235" s="7" t="s">
        <v>2341</v>
      </c>
      <c r="C235" s="7" t="s">
        <v>5880</v>
      </c>
      <c r="D235" s="8" t="s">
        <v>6320</v>
      </c>
      <c r="E235" s="8" t="s">
        <v>6321</v>
      </c>
      <c r="F235" s="7" t="s">
        <v>6319</v>
      </c>
    </row>
    <row r="236" customFormat="false" ht="58.2" hidden="false" customHeight="false" outlineLevel="0" collapsed="false">
      <c r="A236" s="7" t="s">
        <v>6287</v>
      </c>
      <c r="B236" s="7" t="s">
        <v>2355</v>
      </c>
      <c r="C236" s="7" t="s">
        <v>2450</v>
      </c>
      <c r="D236" s="7" t="s">
        <v>6322</v>
      </c>
      <c r="E236" s="7" t="s">
        <v>2356</v>
      </c>
      <c r="F236" s="7" t="s">
        <v>6323</v>
      </c>
    </row>
    <row r="237" customFormat="false" ht="29.85" hidden="false" customHeight="false" outlineLevel="0" collapsed="false">
      <c r="A237" s="7" t="s">
        <v>6287</v>
      </c>
      <c r="B237" s="7" t="s">
        <v>2363</v>
      </c>
      <c r="C237" s="7" t="s">
        <v>5880</v>
      </c>
      <c r="D237" s="8" t="s">
        <v>6324</v>
      </c>
      <c r="E237" s="8" t="s">
        <v>6325</v>
      </c>
      <c r="F237" s="7" t="s">
        <v>6326</v>
      </c>
    </row>
    <row r="238" customFormat="false" ht="58.2" hidden="false" customHeight="false" outlineLevel="0" collapsed="false">
      <c r="A238" s="7" t="s">
        <v>6287</v>
      </c>
      <c r="B238" s="7" t="s">
        <v>2399</v>
      </c>
      <c r="C238" s="7" t="s">
        <v>2450</v>
      </c>
      <c r="D238" s="7" t="s">
        <v>6327</v>
      </c>
      <c r="E238" s="7" t="s">
        <v>6328</v>
      </c>
      <c r="F238" s="7" t="s">
        <v>6329</v>
      </c>
    </row>
    <row r="239" customFormat="false" ht="58.2" hidden="false" customHeight="false" outlineLevel="0" collapsed="false">
      <c r="A239" s="7" t="s">
        <v>6287</v>
      </c>
      <c r="B239" s="7" t="s">
        <v>2429</v>
      </c>
      <c r="C239" s="7" t="s">
        <v>2450</v>
      </c>
      <c r="D239" s="7" t="s">
        <v>6330</v>
      </c>
      <c r="E239" s="7" t="s">
        <v>2430</v>
      </c>
      <c r="F239" s="7" t="s">
        <v>6331</v>
      </c>
    </row>
    <row r="240" customFormat="false" ht="44" hidden="false" customHeight="false" outlineLevel="0" collapsed="false">
      <c r="A240" s="7" t="s">
        <v>6332</v>
      </c>
      <c r="B240" s="7" t="s">
        <v>4166</v>
      </c>
      <c r="C240" s="7" t="s">
        <v>2450</v>
      </c>
      <c r="D240" s="8" t="s">
        <v>6333</v>
      </c>
      <c r="E240" s="8" t="s">
        <v>4168</v>
      </c>
      <c r="F240" s="7" t="s">
        <v>6334</v>
      </c>
    </row>
    <row r="241" customFormat="false" ht="44" hidden="false" customHeight="false" outlineLevel="0" collapsed="false">
      <c r="A241" s="7" t="s">
        <v>6332</v>
      </c>
      <c r="B241" s="7" t="s">
        <v>4169</v>
      </c>
      <c r="C241" s="7" t="s">
        <v>2450</v>
      </c>
      <c r="D241" s="8" t="s">
        <v>6335</v>
      </c>
      <c r="E241" s="8" t="s">
        <v>4171</v>
      </c>
      <c r="F241" s="7" t="s">
        <v>6336</v>
      </c>
    </row>
    <row r="242" customFormat="false" ht="25.35" hidden="false" customHeight="false" outlineLevel="0" collapsed="false">
      <c r="A242" s="7" t="s">
        <v>6332</v>
      </c>
      <c r="B242" s="7" t="s">
        <v>4187</v>
      </c>
      <c r="C242" s="7" t="s">
        <v>5880</v>
      </c>
      <c r="D242" s="8" t="s">
        <v>6337</v>
      </c>
      <c r="E242" s="8" t="s">
        <v>4188</v>
      </c>
      <c r="F242" s="7" t="s">
        <v>6338</v>
      </c>
    </row>
    <row r="243" customFormat="false" ht="58.2" hidden="false" customHeight="false" outlineLevel="0" collapsed="false">
      <c r="A243" s="7" t="s">
        <v>6332</v>
      </c>
      <c r="B243" s="7" t="s">
        <v>4194</v>
      </c>
      <c r="C243" s="7" t="s">
        <v>2450</v>
      </c>
      <c r="D243" s="8" t="s">
        <v>6339</v>
      </c>
      <c r="E243" s="8" t="s">
        <v>4196</v>
      </c>
      <c r="F243" s="7" t="s">
        <v>6340</v>
      </c>
    </row>
    <row r="244" customFormat="false" ht="44" hidden="false" customHeight="false" outlineLevel="0" collapsed="false">
      <c r="A244" s="7" t="s">
        <v>6332</v>
      </c>
      <c r="B244" s="7" t="s">
        <v>4201</v>
      </c>
      <c r="C244" s="7" t="s">
        <v>2450</v>
      </c>
      <c r="D244" s="8" t="s">
        <v>6341</v>
      </c>
      <c r="E244" s="8" t="s">
        <v>4203</v>
      </c>
      <c r="F244" s="7" t="s">
        <v>6342</v>
      </c>
    </row>
    <row r="245" customFormat="false" ht="44" hidden="false" customHeight="false" outlineLevel="0" collapsed="false">
      <c r="A245" s="7" t="s">
        <v>6332</v>
      </c>
      <c r="B245" s="7" t="s">
        <v>4204</v>
      </c>
      <c r="C245" s="7" t="s">
        <v>2450</v>
      </c>
      <c r="D245" s="8" t="s">
        <v>6343</v>
      </c>
      <c r="E245" s="8" t="s">
        <v>4206</v>
      </c>
      <c r="F245" s="7" t="s">
        <v>6344</v>
      </c>
    </row>
    <row r="246" customFormat="false" ht="58.2" hidden="false" customHeight="false" outlineLevel="0" collapsed="false">
      <c r="A246" s="7" t="s">
        <v>6332</v>
      </c>
      <c r="B246" s="7" t="s">
        <v>4241</v>
      </c>
      <c r="C246" s="7" t="s">
        <v>2450</v>
      </c>
      <c r="D246" s="8" t="s">
        <v>6345</v>
      </c>
      <c r="E246" s="8" t="s">
        <v>4243</v>
      </c>
      <c r="F246" s="7" t="s">
        <v>6346</v>
      </c>
    </row>
    <row r="247" customFormat="false" ht="15" hidden="false" customHeight="false" outlineLevel="0" collapsed="false">
      <c r="A247" s="7" t="s">
        <v>6332</v>
      </c>
      <c r="B247" s="7" t="s">
        <v>4248</v>
      </c>
      <c r="C247" s="7" t="s">
        <v>5880</v>
      </c>
      <c r="D247" s="8" t="s">
        <v>6347</v>
      </c>
      <c r="E247" s="8" t="s">
        <v>4249</v>
      </c>
      <c r="F247" s="7" t="s">
        <v>6348</v>
      </c>
    </row>
    <row r="248" customFormat="false" ht="44" hidden="false" customHeight="false" outlineLevel="0" collapsed="false">
      <c r="A248" s="7" t="s">
        <v>6332</v>
      </c>
      <c r="B248" s="7" t="s">
        <v>4248</v>
      </c>
      <c r="C248" s="7" t="s">
        <v>2450</v>
      </c>
      <c r="D248" s="8" t="s">
        <v>6349</v>
      </c>
      <c r="E248" s="8" t="s">
        <v>4250</v>
      </c>
      <c r="F248" s="8" t="s">
        <v>6350</v>
      </c>
    </row>
    <row r="249" customFormat="false" ht="58.2" hidden="false" customHeight="false" outlineLevel="0" collapsed="false">
      <c r="A249" s="7" t="s">
        <v>6332</v>
      </c>
      <c r="B249" s="7" t="s">
        <v>4263</v>
      </c>
      <c r="C249" s="7" t="s">
        <v>2450</v>
      </c>
      <c r="D249" s="8" t="s">
        <v>6351</v>
      </c>
      <c r="E249" s="8" t="s">
        <v>4265</v>
      </c>
      <c r="F249" s="8" t="s">
        <v>6352</v>
      </c>
    </row>
    <row r="250" customFormat="false" ht="15" hidden="false" customHeight="false" outlineLevel="0" collapsed="false">
      <c r="A250" s="7" t="s">
        <v>6332</v>
      </c>
      <c r="B250" s="7" t="s">
        <v>4269</v>
      </c>
      <c r="C250" s="7" t="s">
        <v>5880</v>
      </c>
      <c r="D250" s="8" t="s">
        <v>6353</v>
      </c>
      <c r="E250" s="8" t="s">
        <v>4270</v>
      </c>
      <c r="F250" s="7" t="s">
        <v>6354</v>
      </c>
    </row>
    <row r="251" customFormat="false" ht="15" hidden="false" customHeight="false" outlineLevel="0" collapsed="false">
      <c r="A251" s="7" t="s">
        <v>6332</v>
      </c>
      <c r="B251" s="7" t="s">
        <v>4273</v>
      </c>
      <c r="C251" s="7" t="s">
        <v>5880</v>
      </c>
      <c r="D251" s="8" t="s">
        <v>6355</v>
      </c>
      <c r="E251" s="8" t="s">
        <v>4274</v>
      </c>
      <c r="F251" s="7" t="s">
        <v>6356</v>
      </c>
    </row>
    <row r="252" customFormat="false" ht="15" hidden="false" customHeight="false" outlineLevel="0" collapsed="false">
      <c r="A252" s="7" t="s">
        <v>6332</v>
      </c>
      <c r="B252" s="7" t="s">
        <v>4276</v>
      </c>
      <c r="C252" s="7" t="s">
        <v>5880</v>
      </c>
      <c r="D252" s="8" t="s">
        <v>6357</v>
      </c>
      <c r="E252" s="8" t="s">
        <v>4277</v>
      </c>
      <c r="F252" s="7" t="s">
        <v>6358</v>
      </c>
    </row>
    <row r="253" customFormat="false" ht="15" hidden="false" customHeight="false" outlineLevel="0" collapsed="false">
      <c r="A253" s="7" t="s">
        <v>6332</v>
      </c>
      <c r="B253" s="7" t="s">
        <v>4279</v>
      </c>
      <c r="C253" s="7" t="s">
        <v>5880</v>
      </c>
      <c r="D253" s="8" t="s">
        <v>6359</v>
      </c>
      <c r="E253" s="8" t="s">
        <v>4280</v>
      </c>
      <c r="F253" s="7" t="s">
        <v>6356</v>
      </c>
    </row>
    <row r="254" customFormat="false" ht="58.2" hidden="false" customHeight="false" outlineLevel="0" collapsed="false">
      <c r="A254" s="7" t="s">
        <v>6332</v>
      </c>
      <c r="B254" s="7" t="s">
        <v>4283</v>
      </c>
      <c r="C254" s="7" t="s">
        <v>2450</v>
      </c>
      <c r="D254" s="8" t="s">
        <v>6360</v>
      </c>
      <c r="E254" s="8" t="s">
        <v>4285</v>
      </c>
      <c r="F254" s="7" t="s">
        <v>6361</v>
      </c>
    </row>
    <row r="255" customFormat="false" ht="15" hidden="false" customHeight="false" outlineLevel="0" collapsed="false">
      <c r="A255" s="7" t="s">
        <v>6332</v>
      </c>
      <c r="B255" s="7" t="s">
        <v>4286</v>
      </c>
      <c r="C255" s="7" t="s">
        <v>5880</v>
      </c>
      <c r="D255" s="8" t="s">
        <v>6362</v>
      </c>
      <c r="E255" s="8" t="s">
        <v>4287</v>
      </c>
      <c r="F255" s="7" t="s">
        <v>6354</v>
      </c>
    </row>
    <row r="256" customFormat="false" ht="15" hidden="false" customHeight="false" outlineLevel="0" collapsed="false">
      <c r="A256" s="7" t="s">
        <v>6332</v>
      </c>
      <c r="B256" s="7" t="s">
        <v>4292</v>
      </c>
      <c r="C256" s="7" t="s">
        <v>5880</v>
      </c>
      <c r="D256" s="8" t="s">
        <v>6363</v>
      </c>
      <c r="E256" s="8" t="s">
        <v>4293</v>
      </c>
      <c r="F256" s="7" t="s">
        <v>6356</v>
      </c>
    </row>
    <row r="257" customFormat="false" ht="25.35" hidden="false" customHeight="false" outlineLevel="0" collapsed="false">
      <c r="A257" s="7" t="s">
        <v>6332</v>
      </c>
      <c r="B257" s="7" t="s">
        <v>4298</v>
      </c>
      <c r="C257" s="7" t="s">
        <v>5880</v>
      </c>
      <c r="D257" s="8" t="s">
        <v>6364</v>
      </c>
      <c r="E257" s="8" t="s">
        <v>4299</v>
      </c>
      <c r="F257" s="7" t="s">
        <v>6356</v>
      </c>
    </row>
    <row r="258" customFormat="false" ht="15" hidden="false" customHeight="false" outlineLevel="0" collapsed="false">
      <c r="A258" s="7" t="s">
        <v>6332</v>
      </c>
      <c r="B258" s="7" t="s">
        <v>4302</v>
      </c>
      <c r="C258" s="7" t="s">
        <v>5880</v>
      </c>
      <c r="D258" s="8" t="s">
        <v>6365</v>
      </c>
      <c r="E258" s="8" t="s">
        <v>4303</v>
      </c>
      <c r="F258" s="7" t="s">
        <v>6354</v>
      </c>
    </row>
    <row r="259" customFormat="false" ht="15" hidden="false" customHeight="false" outlineLevel="0" collapsed="false">
      <c r="A259" s="7" t="s">
        <v>6332</v>
      </c>
      <c r="B259" s="7" t="s">
        <v>4305</v>
      </c>
      <c r="C259" s="7" t="s">
        <v>5880</v>
      </c>
      <c r="D259" s="8" t="s">
        <v>6366</v>
      </c>
      <c r="E259" s="8" t="s">
        <v>4306</v>
      </c>
      <c r="F259" s="7" t="s">
        <v>6354</v>
      </c>
    </row>
    <row r="260" customFormat="false" ht="55.95" hidden="false" customHeight="false" outlineLevel="0" collapsed="false">
      <c r="A260" s="7" t="s">
        <v>6332</v>
      </c>
      <c r="B260" s="7" t="s">
        <v>4318</v>
      </c>
      <c r="C260" s="7" t="s">
        <v>2450</v>
      </c>
      <c r="D260" s="8" t="s">
        <v>6367</v>
      </c>
      <c r="E260" s="8" t="s">
        <v>4320</v>
      </c>
      <c r="F260" s="8" t="s">
        <v>6368</v>
      </c>
    </row>
    <row r="261" customFormat="false" ht="44" hidden="false" customHeight="false" outlineLevel="0" collapsed="false">
      <c r="A261" s="7" t="s">
        <v>5879</v>
      </c>
      <c r="B261" s="7" t="s">
        <v>4355</v>
      </c>
      <c r="C261" s="7" t="s">
        <v>2450</v>
      </c>
      <c r="D261" s="8" t="s">
        <v>6369</v>
      </c>
      <c r="E261" s="8" t="s">
        <v>5886</v>
      </c>
      <c r="F261" s="8" t="s">
        <v>6370</v>
      </c>
    </row>
    <row r="262" customFormat="false" ht="44" hidden="false" customHeight="false" outlineLevel="0" collapsed="false">
      <c r="A262" s="7" t="s">
        <v>5879</v>
      </c>
      <c r="B262" s="7" t="s">
        <v>4387</v>
      </c>
      <c r="C262" s="7" t="s">
        <v>2450</v>
      </c>
      <c r="D262" s="8" t="s">
        <v>6371</v>
      </c>
      <c r="E262" s="8" t="s">
        <v>5911</v>
      </c>
      <c r="F262" s="7" t="s">
        <v>6372</v>
      </c>
    </row>
    <row r="263" customFormat="false" ht="15" hidden="false" customHeight="false" outlineLevel="0" collapsed="false">
      <c r="A263" s="7" t="s">
        <v>5879</v>
      </c>
      <c r="B263" s="7" t="s">
        <v>4443</v>
      </c>
      <c r="C263" s="7" t="s">
        <v>5880</v>
      </c>
      <c r="D263" s="8" t="s">
        <v>6373</v>
      </c>
      <c r="E263" s="8" t="s">
        <v>5952</v>
      </c>
      <c r="F263" s="7" t="s">
        <v>6374</v>
      </c>
    </row>
    <row r="264" customFormat="false" ht="15" hidden="false" customHeight="false" outlineLevel="0" collapsed="false">
      <c r="A264" s="7" t="s">
        <v>5879</v>
      </c>
      <c r="B264" s="7" t="s">
        <v>4447</v>
      </c>
      <c r="C264" s="7" t="s">
        <v>5880</v>
      </c>
      <c r="D264" s="8" t="s">
        <v>6375</v>
      </c>
      <c r="E264" s="8" t="s">
        <v>5955</v>
      </c>
      <c r="F264" s="7" t="s">
        <v>6376</v>
      </c>
    </row>
    <row r="265" customFormat="false" ht="44" hidden="false" customHeight="false" outlineLevel="0" collapsed="false">
      <c r="A265" s="7" t="s">
        <v>5879</v>
      </c>
      <c r="B265" s="7" t="s">
        <v>4455</v>
      </c>
      <c r="C265" s="7" t="s">
        <v>2450</v>
      </c>
      <c r="D265" s="8" t="s">
        <v>6377</v>
      </c>
      <c r="E265" s="8" t="s">
        <v>5962</v>
      </c>
      <c r="F265" s="7" t="s">
        <v>6372</v>
      </c>
    </row>
    <row r="266" customFormat="false" ht="44" hidden="false" customHeight="false" outlineLevel="0" collapsed="false">
      <c r="A266" s="7" t="s">
        <v>5879</v>
      </c>
      <c r="B266" s="7" t="s">
        <v>4475</v>
      </c>
      <c r="C266" s="7" t="s">
        <v>2450</v>
      </c>
      <c r="D266" s="8" t="s">
        <v>6378</v>
      </c>
      <c r="E266" s="8" t="s">
        <v>5977</v>
      </c>
      <c r="F266" s="8" t="s">
        <v>6379</v>
      </c>
    </row>
    <row r="267" customFormat="false" ht="44" hidden="false" customHeight="false" outlineLevel="0" collapsed="false">
      <c r="A267" s="7" t="s">
        <v>5879</v>
      </c>
      <c r="B267" s="7" t="s">
        <v>4487</v>
      </c>
      <c r="C267" s="7" t="s">
        <v>2450</v>
      </c>
      <c r="D267" s="8" t="s">
        <v>6380</v>
      </c>
      <c r="E267" s="8" t="s">
        <v>5986</v>
      </c>
      <c r="F267" s="7" t="s">
        <v>6372</v>
      </c>
    </row>
    <row r="268" customFormat="false" ht="44" hidden="false" customHeight="false" outlineLevel="0" collapsed="false">
      <c r="A268" s="7" t="s">
        <v>6381</v>
      </c>
      <c r="B268" s="7" t="s">
        <v>4503</v>
      </c>
      <c r="C268" s="7" t="s">
        <v>2450</v>
      </c>
      <c r="D268" s="8" t="s">
        <v>6382</v>
      </c>
      <c r="E268" s="8" t="s">
        <v>4506</v>
      </c>
      <c r="F268" s="7" t="s">
        <v>6383</v>
      </c>
    </row>
    <row r="269" customFormat="false" ht="44" hidden="false" customHeight="false" outlineLevel="0" collapsed="false">
      <c r="A269" s="7" t="s">
        <v>6381</v>
      </c>
      <c r="B269" s="7" t="s">
        <v>4522</v>
      </c>
      <c r="C269" s="7" t="s">
        <v>2450</v>
      </c>
      <c r="D269" s="8" t="s">
        <v>6384</v>
      </c>
      <c r="E269" s="8" t="s">
        <v>4525</v>
      </c>
      <c r="F269" s="7" t="s">
        <v>6385</v>
      </c>
    </row>
    <row r="270" customFormat="false" ht="44" hidden="false" customHeight="false" outlineLevel="0" collapsed="false">
      <c r="A270" s="7" t="s">
        <v>6381</v>
      </c>
      <c r="B270" s="7" t="s">
        <v>4550</v>
      </c>
      <c r="C270" s="7" t="s">
        <v>2450</v>
      </c>
      <c r="D270" s="8" t="s">
        <v>6386</v>
      </c>
      <c r="E270" s="8" t="s">
        <v>4552</v>
      </c>
      <c r="F270" s="7" t="s">
        <v>6387</v>
      </c>
    </row>
    <row r="271" customFormat="false" ht="44" hidden="false" customHeight="false" outlineLevel="0" collapsed="false">
      <c r="A271" s="7" t="s">
        <v>6381</v>
      </c>
      <c r="B271" s="7" t="s">
        <v>4589</v>
      </c>
      <c r="C271" s="7" t="s">
        <v>2450</v>
      </c>
      <c r="D271" s="8" t="s">
        <v>6388</v>
      </c>
      <c r="E271" s="8" t="s">
        <v>4591</v>
      </c>
      <c r="F271" s="8" t="s">
        <v>6389</v>
      </c>
    </row>
    <row r="272" customFormat="false" ht="44" hidden="false" customHeight="false" outlineLevel="0" collapsed="false">
      <c r="A272" s="7" t="s">
        <v>6381</v>
      </c>
      <c r="B272" s="7" t="s">
        <v>4650</v>
      </c>
      <c r="C272" s="7" t="s">
        <v>2450</v>
      </c>
      <c r="D272" s="8" t="s">
        <v>6390</v>
      </c>
      <c r="E272" s="8" t="s">
        <v>4652</v>
      </c>
      <c r="F272" s="7" t="s">
        <v>6391</v>
      </c>
    </row>
    <row r="273" customFormat="false" ht="15" hidden="false" customHeight="false" outlineLevel="0" collapsed="false">
      <c r="A273" s="7" t="s">
        <v>6381</v>
      </c>
      <c r="B273" s="7" t="s">
        <v>4676</v>
      </c>
      <c r="C273" s="7" t="s">
        <v>5880</v>
      </c>
      <c r="D273" s="8" t="s">
        <v>6392</v>
      </c>
      <c r="E273" s="8" t="s">
        <v>4677</v>
      </c>
      <c r="F273" s="7" t="s">
        <v>6393</v>
      </c>
    </row>
    <row r="274" customFormat="false" ht="44" hidden="false" customHeight="false" outlineLevel="0" collapsed="false">
      <c r="A274" s="7" t="s">
        <v>6381</v>
      </c>
      <c r="B274" s="7" t="s">
        <v>4676</v>
      </c>
      <c r="C274" s="7" t="s">
        <v>2450</v>
      </c>
      <c r="D274" s="8" t="s">
        <v>6394</v>
      </c>
      <c r="E274" s="8" t="s">
        <v>4678</v>
      </c>
      <c r="F274" s="7" t="s">
        <v>6395</v>
      </c>
    </row>
    <row r="275" customFormat="false" ht="58.2" hidden="false" customHeight="false" outlineLevel="0" collapsed="false">
      <c r="A275" s="7" t="s">
        <v>6396</v>
      </c>
      <c r="B275" s="7" t="s">
        <v>4691</v>
      </c>
      <c r="C275" s="7" t="s">
        <v>2450</v>
      </c>
      <c r="D275" s="8" t="s">
        <v>6397</v>
      </c>
      <c r="E275" s="8" t="s">
        <v>4693</v>
      </c>
      <c r="F275" s="7" t="s">
        <v>6398</v>
      </c>
    </row>
    <row r="276" customFormat="false" ht="58.2" hidden="false" customHeight="false" outlineLevel="0" collapsed="false">
      <c r="A276" s="7" t="s">
        <v>6396</v>
      </c>
      <c r="B276" s="7" t="s">
        <v>4694</v>
      </c>
      <c r="C276" s="7" t="s">
        <v>2450</v>
      </c>
      <c r="D276" s="8" t="s">
        <v>6399</v>
      </c>
      <c r="E276" s="8" t="s">
        <v>4696</v>
      </c>
      <c r="F276" s="8" t="s">
        <v>6400</v>
      </c>
    </row>
    <row r="277" customFormat="false" ht="58.2" hidden="false" customHeight="false" outlineLevel="0" collapsed="false">
      <c r="A277" s="7" t="s">
        <v>6396</v>
      </c>
      <c r="B277" s="7" t="s">
        <v>4707</v>
      </c>
      <c r="C277" s="7" t="s">
        <v>2450</v>
      </c>
      <c r="D277" s="8" t="s">
        <v>6401</v>
      </c>
      <c r="E277" s="8" t="s">
        <v>4709</v>
      </c>
      <c r="F277" s="7" t="s">
        <v>6402</v>
      </c>
    </row>
    <row r="278" customFormat="false" ht="58.2" hidden="false" customHeight="false" outlineLevel="0" collapsed="false">
      <c r="A278" s="7" t="s">
        <v>6396</v>
      </c>
      <c r="B278" s="7" t="s">
        <v>4728</v>
      </c>
      <c r="C278" s="7" t="s">
        <v>2450</v>
      </c>
      <c r="D278" s="8" t="s">
        <v>6403</v>
      </c>
      <c r="E278" s="8" t="s">
        <v>4730</v>
      </c>
      <c r="F278" s="7" t="s">
        <v>6404</v>
      </c>
    </row>
    <row r="279" customFormat="false" ht="58.2" hidden="false" customHeight="false" outlineLevel="0" collapsed="false">
      <c r="A279" s="7" t="s">
        <v>6396</v>
      </c>
      <c r="B279" s="7" t="s">
        <v>4742</v>
      </c>
      <c r="C279" s="7" t="s">
        <v>2450</v>
      </c>
      <c r="D279" s="8" t="s">
        <v>6405</v>
      </c>
      <c r="E279" s="8" t="s">
        <v>4744</v>
      </c>
      <c r="F279" s="7" t="s">
        <v>6406</v>
      </c>
    </row>
    <row r="280" customFormat="false" ht="58.2" hidden="false" customHeight="false" outlineLevel="0" collapsed="false">
      <c r="A280" s="7" t="s">
        <v>6396</v>
      </c>
      <c r="B280" s="7" t="s">
        <v>4815</v>
      </c>
      <c r="C280" s="7" t="s">
        <v>2450</v>
      </c>
      <c r="D280" s="8" t="s">
        <v>6407</v>
      </c>
      <c r="E280" s="8" t="s">
        <v>4817</v>
      </c>
      <c r="F280" s="8" t="s">
        <v>6408</v>
      </c>
    </row>
    <row r="281" customFormat="false" ht="58.2" hidden="false" customHeight="false" outlineLevel="0" collapsed="false">
      <c r="A281" s="7" t="s">
        <v>6396</v>
      </c>
      <c r="B281" s="7" t="s">
        <v>4859</v>
      </c>
      <c r="C281" s="7" t="s">
        <v>2450</v>
      </c>
      <c r="D281" s="8" t="s">
        <v>6409</v>
      </c>
      <c r="E281" s="8" t="s">
        <v>4861</v>
      </c>
      <c r="F281" s="7" t="s">
        <v>6410</v>
      </c>
    </row>
    <row r="282" customFormat="false" ht="15" hidden="false" customHeight="false" outlineLevel="0" collapsed="false">
      <c r="A282" s="7" t="s">
        <v>6396</v>
      </c>
      <c r="B282" s="7" t="s">
        <v>4879</v>
      </c>
      <c r="C282" s="7" t="s">
        <v>5880</v>
      </c>
      <c r="D282" s="8" t="s">
        <v>6411</v>
      </c>
      <c r="E282" s="8" t="s">
        <v>4880</v>
      </c>
      <c r="F282" s="7" t="s">
        <v>6412</v>
      </c>
    </row>
    <row r="283" customFormat="false" ht="44" hidden="false" customHeight="false" outlineLevel="0" collapsed="false">
      <c r="A283" s="7" t="s">
        <v>6413</v>
      </c>
      <c r="B283" s="7" t="s">
        <v>4971</v>
      </c>
      <c r="C283" s="7" t="s">
        <v>2450</v>
      </c>
      <c r="D283" s="8" t="s">
        <v>6414</v>
      </c>
      <c r="E283" s="8" t="s">
        <v>4974</v>
      </c>
      <c r="F283" s="8" t="s">
        <v>6415</v>
      </c>
    </row>
    <row r="284" customFormat="false" ht="44" hidden="false" customHeight="false" outlineLevel="0" collapsed="false">
      <c r="A284" s="7" t="s">
        <v>6413</v>
      </c>
      <c r="B284" s="7" t="s">
        <v>4975</v>
      </c>
      <c r="C284" s="7" t="s">
        <v>2450</v>
      </c>
      <c r="D284" s="8" t="s">
        <v>6416</v>
      </c>
      <c r="E284" s="8" t="s">
        <v>4978</v>
      </c>
      <c r="F284" s="8" t="s">
        <v>6417</v>
      </c>
    </row>
    <row r="285" customFormat="false" ht="29.85" hidden="false" customHeight="false" outlineLevel="0" collapsed="false">
      <c r="A285" s="7" t="s">
        <v>6413</v>
      </c>
      <c r="B285" s="7" t="s">
        <v>4995</v>
      </c>
      <c r="C285" s="7" t="s">
        <v>2450</v>
      </c>
      <c r="D285" s="8" t="s">
        <v>6418</v>
      </c>
      <c r="E285" s="8" t="s">
        <v>4998</v>
      </c>
      <c r="F285" s="7" t="s">
        <v>6419</v>
      </c>
    </row>
    <row r="286" customFormat="false" ht="44" hidden="false" customHeight="false" outlineLevel="0" collapsed="false">
      <c r="A286" s="7" t="s">
        <v>6413</v>
      </c>
      <c r="B286" s="7" t="s">
        <v>5040</v>
      </c>
      <c r="C286" s="7" t="s">
        <v>2450</v>
      </c>
      <c r="D286" s="8" t="s">
        <v>6420</v>
      </c>
      <c r="E286" s="8" t="s">
        <v>5043</v>
      </c>
      <c r="F286" s="7" t="s">
        <v>6421</v>
      </c>
    </row>
    <row r="287" customFormat="false" ht="25.35" hidden="false" customHeight="false" outlineLevel="0" collapsed="false">
      <c r="A287" s="7" t="s">
        <v>6413</v>
      </c>
      <c r="B287" s="7" t="s">
        <v>5084</v>
      </c>
      <c r="C287" s="7" t="s">
        <v>6422</v>
      </c>
      <c r="D287" s="8" t="s">
        <v>6423</v>
      </c>
      <c r="E287" s="8" t="s">
        <v>5086</v>
      </c>
      <c r="F287" s="7" t="s">
        <v>6424</v>
      </c>
    </row>
    <row r="288" customFormat="false" ht="44" hidden="false" customHeight="false" outlineLevel="0" collapsed="false">
      <c r="A288" s="7" t="s">
        <v>6425</v>
      </c>
      <c r="B288" s="7" t="s">
        <v>427</v>
      </c>
      <c r="C288" s="7" t="s">
        <v>6426</v>
      </c>
      <c r="D288" s="8" t="s">
        <v>6427</v>
      </c>
      <c r="E288" s="8" t="s">
        <v>5164</v>
      </c>
      <c r="F288" s="8" t="s">
        <v>6428</v>
      </c>
    </row>
    <row r="289" customFormat="false" ht="44" hidden="false" customHeight="false" outlineLevel="0" collapsed="false">
      <c r="A289" s="7" t="s">
        <v>6425</v>
      </c>
      <c r="B289" s="7" t="s">
        <v>440</v>
      </c>
      <c r="C289" s="7" t="s">
        <v>6429</v>
      </c>
      <c r="D289" s="8" t="s">
        <v>6430</v>
      </c>
      <c r="E289" s="8" t="s">
        <v>5166</v>
      </c>
      <c r="F289" s="7" t="s">
        <v>6431</v>
      </c>
    </row>
    <row r="290" customFormat="false" ht="44" hidden="false" customHeight="false" outlineLevel="0" collapsed="false">
      <c r="A290" s="7" t="s">
        <v>6425</v>
      </c>
      <c r="B290" s="7" t="s">
        <v>440</v>
      </c>
      <c r="C290" s="7" t="s">
        <v>6426</v>
      </c>
      <c r="D290" s="8" t="s">
        <v>6432</v>
      </c>
      <c r="E290" s="8" t="s">
        <v>6433</v>
      </c>
      <c r="F290" s="7" t="s">
        <v>6434</v>
      </c>
    </row>
    <row r="291" customFormat="false" ht="44" hidden="false" customHeight="false" outlineLevel="0" collapsed="false">
      <c r="A291" s="7" t="s">
        <v>6425</v>
      </c>
      <c r="B291" s="7" t="s">
        <v>440</v>
      </c>
      <c r="C291" s="7" t="s">
        <v>6426</v>
      </c>
      <c r="D291" s="8" t="s">
        <v>6433</v>
      </c>
      <c r="E291" s="8" t="s">
        <v>5167</v>
      </c>
      <c r="F291" s="7" t="s">
        <v>6435</v>
      </c>
    </row>
    <row r="292" customFormat="false" ht="44" hidden="false" customHeight="false" outlineLevel="0" collapsed="false">
      <c r="A292" s="7" t="s">
        <v>6425</v>
      </c>
      <c r="B292" s="7" t="s">
        <v>476</v>
      </c>
      <c r="C292" s="7" t="s">
        <v>6429</v>
      </c>
      <c r="D292" s="8" t="s">
        <v>6436</v>
      </c>
      <c r="E292" s="8" t="s">
        <v>5172</v>
      </c>
      <c r="F292" s="7" t="s">
        <v>6437</v>
      </c>
    </row>
    <row r="293" customFormat="false" ht="58.2" hidden="false" customHeight="false" outlineLevel="0" collapsed="false">
      <c r="A293" s="7" t="s">
        <v>6425</v>
      </c>
      <c r="B293" s="7" t="s">
        <v>552</v>
      </c>
      <c r="C293" s="7" t="s">
        <v>6429</v>
      </c>
      <c r="D293" s="8" t="s">
        <v>6438</v>
      </c>
      <c r="E293" s="8" t="s">
        <v>5186</v>
      </c>
      <c r="F293" s="8" t="s">
        <v>6439</v>
      </c>
    </row>
    <row r="294" customFormat="false" ht="44" hidden="false" customHeight="false" outlineLevel="0" collapsed="false">
      <c r="A294" s="7" t="s">
        <v>6425</v>
      </c>
      <c r="B294" s="7" t="s">
        <v>562</v>
      </c>
      <c r="C294" s="7" t="s">
        <v>6426</v>
      </c>
      <c r="D294" s="8" t="s">
        <v>6440</v>
      </c>
      <c r="E294" s="8" t="s">
        <v>5189</v>
      </c>
      <c r="F294" s="7" t="s">
        <v>6441</v>
      </c>
    </row>
    <row r="295" customFormat="false" ht="44" hidden="false" customHeight="false" outlineLevel="0" collapsed="false">
      <c r="A295" s="7" t="s">
        <v>6425</v>
      </c>
      <c r="B295" s="7" t="s">
        <v>594</v>
      </c>
      <c r="C295" s="7" t="s">
        <v>6429</v>
      </c>
      <c r="D295" s="8" t="s">
        <v>6442</v>
      </c>
      <c r="E295" s="8" t="s">
        <v>5194</v>
      </c>
      <c r="F295" s="7" t="s">
        <v>6443</v>
      </c>
    </row>
    <row r="296" customFormat="false" ht="58.2" hidden="false" customHeight="false" outlineLevel="0" collapsed="false">
      <c r="A296" s="7" t="s">
        <v>6425</v>
      </c>
      <c r="B296" s="7" t="s">
        <v>615</v>
      </c>
      <c r="C296" s="7" t="s">
        <v>6429</v>
      </c>
      <c r="D296" s="8" t="s">
        <v>6444</v>
      </c>
      <c r="E296" s="8" t="s">
        <v>5198</v>
      </c>
      <c r="F296" s="7" t="s">
        <v>6445</v>
      </c>
    </row>
    <row r="297" customFormat="false" ht="58.2" hidden="false" customHeight="false" outlineLevel="0" collapsed="false">
      <c r="A297" s="7" t="s">
        <v>6425</v>
      </c>
      <c r="B297" s="7" t="s">
        <v>626</v>
      </c>
      <c r="C297" s="7" t="s">
        <v>6429</v>
      </c>
      <c r="D297" s="8" t="s">
        <v>6446</v>
      </c>
      <c r="E297" s="8" t="s">
        <v>5200</v>
      </c>
      <c r="F297" s="8" t="s">
        <v>6447</v>
      </c>
    </row>
    <row r="298" customFormat="false" ht="44" hidden="false" customHeight="false" outlineLevel="0" collapsed="false">
      <c r="A298" s="7" t="s">
        <v>6448</v>
      </c>
      <c r="B298" s="7" t="s">
        <v>5229</v>
      </c>
      <c r="C298" s="7" t="s">
        <v>6449</v>
      </c>
      <c r="D298" s="8" t="s">
        <v>6450</v>
      </c>
      <c r="E298" s="8" t="s">
        <v>5231</v>
      </c>
      <c r="F298" s="7" t="s">
        <v>6451</v>
      </c>
    </row>
    <row r="299" customFormat="false" ht="44" hidden="false" customHeight="false" outlineLevel="0" collapsed="false">
      <c r="A299" s="7" t="s">
        <v>6452</v>
      </c>
      <c r="B299" s="7" t="s">
        <v>2931</v>
      </c>
      <c r="C299" s="7" t="s">
        <v>6453</v>
      </c>
      <c r="D299" s="8" t="s">
        <v>6454</v>
      </c>
      <c r="E299" s="8" t="s">
        <v>2935</v>
      </c>
      <c r="F299" s="7" t="s">
        <v>6455</v>
      </c>
    </row>
    <row r="300" customFormat="false" ht="29.85" hidden="false" customHeight="false" outlineLevel="0" collapsed="false">
      <c r="A300" s="7" t="s">
        <v>6452</v>
      </c>
      <c r="B300" s="7" t="s">
        <v>2931</v>
      </c>
      <c r="C300" s="7" t="s">
        <v>6456</v>
      </c>
      <c r="D300" s="8" t="s">
        <v>6457</v>
      </c>
      <c r="E300" s="8" t="s">
        <v>2936</v>
      </c>
      <c r="F300" s="7" t="s">
        <v>6458</v>
      </c>
    </row>
    <row r="301" customFormat="false" ht="15" hidden="false" customHeight="false" outlineLevel="0" collapsed="false">
      <c r="A301" s="7" t="s">
        <v>6452</v>
      </c>
      <c r="B301" s="7" t="s">
        <v>2951</v>
      </c>
      <c r="C301" s="7" t="s">
        <v>6459</v>
      </c>
      <c r="D301" s="8" t="s">
        <v>6460</v>
      </c>
      <c r="E301" s="8" t="s">
        <v>2954</v>
      </c>
      <c r="F301" s="8" t="s">
        <v>6461</v>
      </c>
    </row>
    <row r="302" customFormat="false" ht="29.85" hidden="false" customHeight="false" outlineLevel="0" collapsed="false">
      <c r="A302" s="7" t="s">
        <v>6452</v>
      </c>
      <c r="B302" s="7" t="s">
        <v>2951</v>
      </c>
      <c r="C302" s="7" t="s">
        <v>6456</v>
      </c>
      <c r="D302" s="8" t="s">
        <v>6462</v>
      </c>
      <c r="E302" s="8" t="s">
        <v>2956</v>
      </c>
      <c r="F302" s="7" t="s">
        <v>6463</v>
      </c>
    </row>
    <row r="303" customFormat="false" ht="29.85" hidden="false" customHeight="false" outlineLevel="0" collapsed="false">
      <c r="A303" s="7" t="s">
        <v>6452</v>
      </c>
      <c r="B303" s="7" t="s">
        <v>2951</v>
      </c>
      <c r="C303" s="7" t="s">
        <v>6464</v>
      </c>
      <c r="D303" s="8" t="s">
        <v>6465</v>
      </c>
      <c r="E303" s="8" t="s">
        <v>2966</v>
      </c>
      <c r="F303" s="8" t="s">
        <v>6466</v>
      </c>
    </row>
    <row r="304" customFormat="false" ht="29.85" hidden="false" customHeight="false" outlineLevel="0" collapsed="false">
      <c r="A304" s="7" t="s">
        <v>6452</v>
      </c>
      <c r="B304" s="7" t="s">
        <v>2970</v>
      </c>
      <c r="C304" s="7" t="s">
        <v>6467</v>
      </c>
      <c r="D304" s="8" t="s">
        <v>6468</v>
      </c>
      <c r="E304" s="8" t="s">
        <v>2984</v>
      </c>
      <c r="F304" s="7" t="s">
        <v>6469</v>
      </c>
    </row>
    <row r="305" customFormat="false" ht="29.85" hidden="false" customHeight="false" outlineLevel="0" collapsed="false">
      <c r="A305" s="7" t="s">
        <v>6452</v>
      </c>
      <c r="B305" s="7" t="s">
        <v>2970</v>
      </c>
      <c r="C305" s="7" t="s">
        <v>6464</v>
      </c>
      <c r="D305" s="8" t="s">
        <v>6470</v>
      </c>
      <c r="E305" s="8" t="s">
        <v>2985</v>
      </c>
      <c r="F305" s="7" t="s">
        <v>6471</v>
      </c>
    </row>
    <row r="306" customFormat="false" ht="29.85" hidden="false" customHeight="false" outlineLevel="0" collapsed="false">
      <c r="A306" s="7" t="s">
        <v>6452</v>
      </c>
      <c r="B306" s="7" t="s">
        <v>2990</v>
      </c>
      <c r="C306" s="7" t="s">
        <v>6459</v>
      </c>
      <c r="D306" s="8" t="s">
        <v>6472</v>
      </c>
      <c r="E306" s="8" t="s">
        <v>2993</v>
      </c>
      <c r="F306" s="8" t="s">
        <v>6473</v>
      </c>
    </row>
    <row r="307" customFormat="false" ht="44" hidden="false" customHeight="false" outlineLevel="0" collapsed="false">
      <c r="A307" s="7" t="s">
        <v>6452</v>
      </c>
      <c r="B307" s="7" t="s">
        <v>3009</v>
      </c>
      <c r="C307" s="7" t="s">
        <v>6474</v>
      </c>
      <c r="D307" s="8" t="s">
        <v>6475</v>
      </c>
      <c r="E307" s="8" t="s">
        <v>3018</v>
      </c>
      <c r="F307" s="8" t="s">
        <v>6476</v>
      </c>
    </row>
    <row r="308" customFormat="false" ht="44" hidden="false" customHeight="false" outlineLevel="0" collapsed="false">
      <c r="A308" s="7" t="s">
        <v>6452</v>
      </c>
      <c r="B308" s="7" t="s">
        <v>3028</v>
      </c>
      <c r="C308" s="7" t="s">
        <v>6467</v>
      </c>
      <c r="D308" s="8" t="s">
        <v>6477</v>
      </c>
      <c r="E308" s="8" t="s">
        <v>3042</v>
      </c>
      <c r="F308" s="8" t="s">
        <v>6478</v>
      </c>
    </row>
    <row r="309" customFormat="false" ht="29.85" hidden="false" customHeight="false" outlineLevel="0" collapsed="false">
      <c r="A309" s="7" t="s">
        <v>6452</v>
      </c>
      <c r="B309" s="7" t="s">
        <v>3047</v>
      </c>
      <c r="C309" s="7" t="s">
        <v>6459</v>
      </c>
      <c r="D309" s="8" t="s">
        <v>6479</v>
      </c>
      <c r="E309" s="8" t="s">
        <v>3049</v>
      </c>
      <c r="F309" s="7" t="s">
        <v>6480</v>
      </c>
    </row>
    <row r="310" customFormat="false" ht="44" hidden="false" customHeight="false" outlineLevel="0" collapsed="false">
      <c r="A310" s="7" t="s">
        <v>6452</v>
      </c>
      <c r="B310" s="7" t="s">
        <v>3064</v>
      </c>
      <c r="C310" s="7" t="s">
        <v>6474</v>
      </c>
      <c r="D310" s="8" t="s">
        <v>6481</v>
      </c>
      <c r="E310" s="8" t="s">
        <v>3072</v>
      </c>
      <c r="F310" s="7" t="s">
        <v>6482</v>
      </c>
    </row>
    <row r="311" customFormat="false" ht="15" hidden="false" customHeight="false" outlineLevel="0" collapsed="false">
      <c r="A311" s="7" t="s">
        <v>6452</v>
      </c>
      <c r="B311" s="7" t="s">
        <v>3064</v>
      </c>
      <c r="C311" s="7" t="s">
        <v>6483</v>
      </c>
      <c r="D311" s="8" t="s">
        <v>6484</v>
      </c>
      <c r="E311" s="8" t="s">
        <v>3076</v>
      </c>
      <c r="F311" s="7" t="s">
        <v>6485</v>
      </c>
    </row>
    <row r="312" customFormat="false" ht="15" hidden="false" customHeight="false" outlineLevel="0" collapsed="false">
      <c r="A312" s="7" t="s">
        <v>6452</v>
      </c>
      <c r="B312" s="7" t="s">
        <v>3082</v>
      </c>
      <c r="C312" s="7" t="s">
        <v>6459</v>
      </c>
      <c r="D312" s="8" t="s">
        <v>6486</v>
      </c>
      <c r="E312" s="8" t="s">
        <v>3084</v>
      </c>
      <c r="F312" s="8" t="s">
        <v>6487</v>
      </c>
    </row>
    <row r="313" customFormat="false" ht="29.85" hidden="false" customHeight="false" outlineLevel="0" collapsed="false">
      <c r="A313" s="7" t="s">
        <v>6452</v>
      </c>
      <c r="B313" s="7" t="s">
        <v>3082</v>
      </c>
      <c r="C313" s="7" t="s">
        <v>6464</v>
      </c>
      <c r="D313" s="8" t="s">
        <v>6488</v>
      </c>
      <c r="E313" s="8" t="s">
        <v>3095</v>
      </c>
      <c r="F313" s="7" t="s">
        <v>6489</v>
      </c>
    </row>
    <row r="314" customFormat="false" ht="15" hidden="false" customHeight="false" outlineLevel="0" collapsed="false">
      <c r="A314" s="7" t="s">
        <v>6452</v>
      </c>
      <c r="B314" s="7" t="s">
        <v>3117</v>
      </c>
      <c r="C314" s="7" t="s">
        <v>6490</v>
      </c>
      <c r="D314" s="8" t="s">
        <v>6491</v>
      </c>
      <c r="E314" s="8" t="s">
        <v>3124</v>
      </c>
      <c r="F314" s="7" t="s">
        <v>6492</v>
      </c>
    </row>
    <row r="315" customFormat="false" ht="29.85" hidden="false" customHeight="false" outlineLevel="0" collapsed="false">
      <c r="A315" s="7" t="s">
        <v>6452</v>
      </c>
      <c r="B315" s="7" t="s">
        <v>3167</v>
      </c>
      <c r="C315" s="7" t="s">
        <v>6456</v>
      </c>
      <c r="D315" s="8" t="s">
        <v>6493</v>
      </c>
      <c r="E315" s="8" t="s">
        <v>3171</v>
      </c>
      <c r="F315" s="7" t="s">
        <v>6494</v>
      </c>
    </row>
    <row r="316" customFormat="false" ht="15" hidden="false" customHeight="false" outlineLevel="0" collapsed="false">
      <c r="A316" s="7" t="s">
        <v>6452</v>
      </c>
      <c r="B316" s="7" t="s">
        <v>3200</v>
      </c>
      <c r="C316" s="7" t="s">
        <v>6490</v>
      </c>
      <c r="D316" s="8" t="s">
        <v>6495</v>
      </c>
      <c r="E316" s="8" t="s">
        <v>3207</v>
      </c>
      <c r="F316" s="8" t="s">
        <v>6439</v>
      </c>
    </row>
    <row r="317" customFormat="false" ht="44" hidden="false" customHeight="false" outlineLevel="0" collapsed="false">
      <c r="A317" s="7" t="s">
        <v>6452</v>
      </c>
      <c r="B317" s="7" t="s">
        <v>3217</v>
      </c>
      <c r="C317" s="7" t="s">
        <v>6453</v>
      </c>
      <c r="D317" s="8" t="s">
        <v>6496</v>
      </c>
      <c r="E317" s="8" t="s">
        <v>3220</v>
      </c>
      <c r="F317" s="7" t="s">
        <v>6497</v>
      </c>
    </row>
    <row r="318" customFormat="false" ht="15" hidden="false" customHeight="false" outlineLevel="0" collapsed="false">
      <c r="A318" s="7" t="s">
        <v>6452</v>
      </c>
      <c r="B318" s="7" t="s">
        <v>3249</v>
      </c>
      <c r="C318" s="7" t="s">
        <v>6483</v>
      </c>
      <c r="D318" s="8" t="s">
        <v>6498</v>
      </c>
      <c r="E318" s="8" t="s">
        <v>3261</v>
      </c>
      <c r="F318" s="8" t="s">
        <v>6499</v>
      </c>
    </row>
    <row r="319" customFormat="false" ht="29.85" hidden="false" customHeight="false" outlineLevel="0" collapsed="false">
      <c r="A319" s="7" t="s">
        <v>6452</v>
      </c>
      <c r="B319" s="7" t="s">
        <v>3249</v>
      </c>
      <c r="C319" s="7" t="s">
        <v>6464</v>
      </c>
      <c r="D319" s="8" t="s">
        <v>6500</v>
      </c>
      <c r="E319" s="8" t="s">
        <v>3263</v>
      </c>
      <c r="F319" s="7" t="s">
        <v>6501</v>
      </c>
    </row>
    <row r="320" customFormat="false" ht="15" hidden="false" customHeight="false" outlineLevel="0" collapsed="false">
      <c r="A320" s="7" t="s">
        <v>6452</v>
      </c>
      <c r="B320" s="7" t="s">
        <v>3265</v>
      </c>
      <c r="C320" s="7" t="s">
        <v>6459</v>
      </c>
      <c r="D320" s="8" t="s">
        <v>6502</v>
      </c>
      <c r="E320" s="8" t="s">
        <v>3267</v>
      </c>
      <c r="F320" s="8" t="s">
        <v>6503</v>
      </c>
    </row>
    <row r="321" customFormat="false" ht="15" hidden="false" customHeight="false" outlineLevel="0" collapsed="false">
      <c r="A321" s="7" t="s">
        <v>6452</v>
      </c>
      <c r="B321" s="7" t="s">
        <v>3301</v>
      </c>
      <c r="C321" s="7" t="s">
        <v>6459</v>
      </c>
      <c r="D321" s="8" t="s">
        <v>6504</v>
      </c>
      <c r="E321" s="8" t="s">
        <v>3303</v>
      </c>
      <c r="F321" s="8" t="s">
        <v>6505</v>
      </c>
    </row>
    <row r="322" customFormat="false" ht="29.85" hidden="false" customHeight="false" outlineLevel="0" collapsed="false">
      <c r="A322" s="7" t="s">
        <v>6452</v>
      </c>
      <c r="B322" s="7" t="s">
        <v>3319</v>
      </c>
      <c r="C322" s="7" t="s">
        <v>6453</v>
      </c>
      <c r="D322" s="8" t="s">
        <v>6506</v>
      </c>
      <c r="E322" s="8" t="s">
        <v>3322</v>
      </c>
      <c r="F322" s="8" t="s">
        <v>6439</v>
      </c>
    </row>
    <row r="323" customFormat="false" ht="44" hidden="false" customHeight="false" outlineLevel="0" collapsed="false">
      <c r="A323" s="7" t="s">
        <v>6452</v>
      </c>
      <c r="B323" s="7" t="s">
        <v>3319</v>
      </c>
      <c r="C323" s="7" t="s">
        <v>6474</v>
      </c>
      <c r="D323" s="8" t="s">
        <v>6507</v>
      </c>
      <c r="E323" s="8" t="s">
        <v>3327</v>
      </c>
      <c r="F323" s="7" t="s">
        <v>6508</v>
      </c>
    </row>
    <row r="324" customFormat="false" ht="29.85" hidden="false" customHeight="false" outlineLevel="0" collapsed="false">
      <c r="A324" s="7" t="s">
        <v>6452</v>
      </c>
      <c r="B324" s="7" t="s">
        <v>3386</v>
      </c>
      <c r="C324" s="7" t="s">
        <v>6464</v>
      </c>
      <c r="D324" s="8" t="s">
        <v>6509</v>
      </c>
      <c r="E324" s="8" t="s">
        <v>3400</v>
      </c>
      <c r="F324" s="7" t="s">
        <v>6510</v>
      </c>
    </row>
    <row r="325" customFormat="false" ht="29.85" hidden="false" customHeight="false" outlineLevel="0" collapsed="false">
      <c r="A325" s="7" t="s">
        <v>6452</v>
      </c>
      <c r="B325" s="7" t="s">
        <v>3403</v>
      </c>
      <c r="C325" s="7" t="s">
        <v>6464</v>
      </c>
      <c r="D325" s="8" t="s">
        <v>6511</v>
      </c>
      <c r="E325" s="8" t="s">
        <v>6512</v>
      </c>
      <c r="F325" s="7" t="s">
        <v>6513</v>
      </c>
    </row>
    <row r="326" customFormat="false" ht="29.85" hidden="false" customHeight="false" outlineLevel="0" collapsed="false">
      <c r="A326" s="7" t="s">
        <v>6452</v>
      </c>
      <c r="B326" s="7" t="s">
        <v>3403</v>
      </c>
      <c r="C326" s="7" t="s">
        <v>6464</v>
      </c>
      <c r="D326" s="8" t="s">
        <v>6512</v>
      </c>
      <c r="E326" s="8" t="s">
        <v>3416</v>
      </c>
      <c r="F326" s="7" t="s">
        <v>6514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2026-10-09T14:06:57Z</dcterms:created>
  <dc:creator>openpyxl</dc:creator>
  <dc:description/>
  <dc:language>en-US</dc:language>
  <cp:lastModifiedBy/>
  <dcterms:modified xsi:type="dcterms:W3CDTF">2026-10-09T14:06:57Z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